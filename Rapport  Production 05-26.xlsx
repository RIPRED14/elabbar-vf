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os Info\Desktop\production\"/>
    </mc:Choice>
  </mc:AlternateContent>
  <xr:revisionPtr revIDLastSave="0" documentId="13_ncr:1_{BE2D9BD2-932E-4842-A063-8CFD3DB32DAB}" xr6:coauthVersionLast="47" xr6:coauthVersionMax="47" xr10:uidLastSave="{00000000-0000-0000-0000-000000000000}"/>
  <bookViews>
    <workbookView xWindow="-108" yWindow="-108" windowWidth="23256" windowHeight="12576" activeTab="3" xr2:uid="{C1A04341-58C8-4E21-9F96-020B81A26AD2}"/>
  </bookViews>
  <sheets>
    <sheet name="01-05-2026 " sheetId="1" r:id="rId1"/>
    <sheet name="02-05-2026  (2)" sheetId="2" r:id="rId2"/>
    <sheet name="04-05-2026 " sheetId="3" r:id="rId3"/>
    <sheet name="05-05-2026" sheetId="5" r:id="rId4"/>
    <sheet name="Feuil1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0" i="5" l="1"/>
  <c r="C10" i="5"/>
  <c r="B10" i="5"/>
  <c r="P10" i="3"/>
  <c r="L10" i="3"/>
  <c r="M10" i="3" s="1"/>
  <c r="C11" i="3"/>
  <c r="B11" i="3"/>
  <c r="C10" i="3"/>
  <c r="B10" i="3"/>
  <c r="M11" i="3"/>
  <c r="P10" i="2"/>
  <c r="P10" i="1"/>
  <c r="M11" i="2"/>
  <c r="M12" i="2"/>
  <c r="M10" i="2"/>
  <c r="C11" i="2"/>
  <c r="B11" i="2"/>
  <c r="C10" i="2"/>
  <c r="B10" i="2"/>
  <c r="C11" i="1"/>
  <c r="M10" i="5" l="1"/>
  <c r="M11" i="1"/>
  <c r="B11" i="1"/>
  <c r="C10" i="1"/>
  <c r="B10" i="1"/>
  <c r="M10" i="1"/>
</calcChain>
</file>

<file path=xl/sharedStrings.xml><?xml version="1.0" encoding="utf-8"?>
<sst xmlns="http://schemas.openxmlformats.org/spreadsheetml/2006/main" count="116" uniqueCount="38">
  <si>
    <t xml:space="preserve">FISH &amp; FOOD TRAITEMENT </t>
  </si>
  <si>
    <t>Suivi de Production</t>
  </si>
  <si>
    <t>Traitement</t>
  </si>
  <si>
    <t>Emballage</t>
  </si>
  <si>
    <t>ESPECE</t>
  </si>
  <si>
    <t>Nbr css</t>
  </si>
  <si>
    <t>Poids Initial kg</t>
  </si>
  <si>
    <t>Mode de Traitement</t>
  </si>
  <si>
    <t>Poids Après Eviscération kg</t>
  </si>
  <si>
    <t>Poids après Trempage kg</t>
  </si>
  <si>
    <t>Remdement</t>
  </si>
  <si>
    <t>Nbr Effectifes</t>
  </si>
  <si>
    <t>Tt Heurs</t>
  </si>
  <si>
    <t xml:space="preserve">Poids Apés glazurage/Congélation kg </t>
  </si>
  <si>
    <t>Taux de glazurage</t>
  </si>
  <si>
    <t>Poids Emballé kg</t>
  </si>
  <si>
    <t>Rendement final</t>
  </si>
  <si>
    <t>Mode d'embllage</t>
  </si>
  <si>
    <t>Heurs</t>
  </si>
  <si>
    <t xml:space="preserve">Merlan Entier </t>
  </si>
  <si>
    <t>DECONGELATION /RECONDITIONNEMENT</t>
  </si>
  <si>
    <t>S2KgC12Kg</t>
  </si>
  <si>
    <t>Date de Traitement : 29/04/2026</t>
  </si>
  <si>
    <t>Le,02/05/2026</t>
  </si>
  <si>
    <t>Date d'emballage    :01/05/2026</t>
  </si>
  <si>
    <t>Burro/Abadeche</t>
  </si>
  <si>
    <t>RECONDITIONNEMENT</t>
  </si>
  <si>
    <t xml:space="preserve">Date de Traitement : </t>
  </si>
  <si>
    <t>Date d'emballage    :02/05/2026</t>
  </si>
  <si>
    <t>Le,04/05/2026</t>
  </si>
  <si>
    <t>Burro /Abadeche</t>
  </si>
  <si>
    <t>Bezugo/Bogue</t>
  </si>
  <si>
    <t>Pargo/Petit pageot</t>
  </si>
  <si>
    <t>Reconditionnement</t>
  </si>
  <si>
    <t>Le,05/05/2026</t>
  </si>
  <si>
    <t>Date d'emballage    :04/05/2026</t>
  </si>
  <si>
    <t>Date d'emballage    :05/05/2026</t>
  </si>
  <si>
    <t>Le,06/05/2026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</si>
</sst>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theme="1"/>
      <name val="Calibri"/>
      <family val="2"/>
      <scheme val="minor"/>
    </font>
    <font>
      <b/>
      <sz val="11"/>
      <color rgb="FF00204F"/>
      <name val="Book Antiqua"/>
      <family val="1"/>
    </font>
    <font>
      <b/>
      <sz val="11"/>
      <color theme="1"/>
      <name val="Book Antiqua"/>
      <family val="1"/>
    </font>
    <font>
      <sz val="11"/>
      <color theme="1"/>
      <name val="Book Antiqua"/>
      <family val="1"/>
    </font>
    <font>
      <b/>
      <sz val="28"/>
      <color theme="1"/>
      <name val="Book Antiqua"/>
      <family val="1"/>
    </font>
    <font>
      <b/>
      <sz val="12"/>
      <color theme="1"/>
      <name val="Book Antiqua"/>
      <family val="1"/>
    </font>
    <font>
      <b/>
      <sz val="14"/>
      <color theme="1"/>
      <name val="Book Antiqua"/>
      <family val="1"/>
    </font>
    <font>
      <sz val="12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rgb="FFA2A2A2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theme="3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5" xfId="0" applyBorder="1"/>
    <xf numFmtId="0" fontId="5" fillId="0" borderId="0" xfId="0" applyFont="1"/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" fontId="2" fillId="3" borderId="13" xfId="0" applyNumberFormat="1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9" fontId="3" fillId="4" borderId="6" xfId="0" quotePrefix="1" applyNumberFormat="1" applyFont="1" applyFill="1" applyBorder="1" applyAlignment="1">
      <alignment horizontal="center" vertical="center"/>
    </xf>
    <xf numFmtId="0" fontId="7" fillId="4" borderId="16" xfId="0" quotePrefix="1" applyFont="1" applyFill="1" applyBorder="1" applyAlignment="1">
      <alignment horizontal="center" vertical="center"/>
    </xf>
    <xf numFmtId="0" fontId="3" fillId="4" borderId="17" xfId="0" quotePrefix="1" applyFont="1" applyFill="1" applyBorder="1" applyAlignment="1">
      <alignment vertical="center"/>
    </xf>
    <xf numFmtId="0" fontId="3" fillId="4" borderId="8" xfId="0" quotePrefix="1" applyFont="1" applyFill="1" applyBorder="1" applyAlignment="1">
      <alignment vertical="center"/>
    </xf>
    <xf numFmtId="0" fontId="7" fillId="0" borderId="8" xfId="0" quotePrefix="1" applyFont="1" applyBorder="1" applyAlignment="1">
      <alignment horizontal="center" vertical="center"/>
    </xf>
    <xf numFmtId="9" fontId="7" fillId="0" borderId="16" xfId="0" quotePrefix="1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4" fontId="7" fillId="0" borderId="16" xfId="0" quotePrefix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" fontId="3" fillId="0" borderId="13" xfId="0" quotePrefix="1" applyNumberFormat="1" applyFont="1" applyBorder="1" applyAlignment="1">
      <alignment horizontal="center" vertical="center"/>
    </xf>
    <xf numFmtId="1" fontId="3" fillId="0" borderId="19" xfId="0" quotePrefix="1" applyNumberFormat="1" applyFont="1" applyBorder="1" applyAlignment="1">
      <alignment horizontal="center" vertical="center"/>
    </xf>
    <xf numFmtId="1" fontId="3" fillId="0" borderId="20" xfId="0" applyNumberFormat="1" applyFont="1" applyBorder="1" applyAlignment="1">
      <alignment horizontal="center" vertical="center"/>
    </xf>
    <xf numFmtId="1" fontId="3" fillId="0" borderId="21" xfId="0" quotePrefix="1" applyNumberFormat="1" applyFont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22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1F56-F263-43D1-ABC1-4B66C120363B}">
  <dimension ref="A1:R11"/>
  <sheetViews>
    <sheetView workbookViewId="0">
      <selection activeCell="S8" sqref="S8"/>
    </sheetView>
  </sheetViews>
  <sheetFormatPr baseColWidth="10" defaultRowHeight="14.4" x14ac:dyDescent="0.3"/>
  <cols>
    <col min="1" max="1" width="27.109375" customWidth="1"/>
    <col min="2" max="2" width="9.5546875" customWidth="1"/>
    <col min="3" max="3" width="9.88671875" customWidth="1"/>
    <col min="4" max="4" width="26.77734375" customWidth="1"/>
    <col min="5" max="5" width="12.6640625" hidden="1" customWidth="1"/>
    <col min="6" max="6" width="0" hidden="1" customWidth="1"/>
    <col min="7" max="7" width="11.88671875" hidden="1" customWidth="1"/>
    <col min="8" max="8" width="10.6640625" hidden="1" customWidth="1"/>
    <col min="9" max="9" width="9.88671875" hidden="1" customWidth="1"/>
    <col min="10" max="10" width="11.109375" hidden="1" customWidth="1"/>
    <col min="11" max="11" width="0.5546875" hidden="1" customWidth="1"/>
    <col min="13" max="13" width="11.77734375" customWidth="1"/>
    <col min="14" max="14" width="17" customWidth="1"/>
    <col min="15" max="15" width="13.77734375" customWidth="1"/>
    <col min="16" max="16" width="13.21875" customWidth="1"/>
  </cols>
  <sheetData>
    <row r="1" spans="1:18" x14ac:dyDescent="0.3">
      <c r="A1" s="1" t="s">
        <v>0</v>
      </c>
      <c r="B1" s="1"/>
    </row>
    <row r="2" spans="1:18" x14ac:dyDescent="0.3">
      <c r="A2" s="1"/>
      <c r="B2" s="1"/>
      <c r="L2" s="28" t="s">
        <v>23</v>
      </c>
      <c r="M2" s="28"/>
      <c r="N2" s="28"/>
      <c r="O2" s="28"/>
      <c r="P2" s="28"/>
      <c r="Q2" s="2"/>
      <c r="R2" s="2"/>
    </row>
    <row r="3" spans="1:18" ht="36" x14ac:dyDescent="0.3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Q3" s="3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8" ht="15.6" x14ac:dyDescent="0.3">
      <c r="A5" s="4" t="s">
        <v>22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8" ht="15.6" x14ac:dyDescent="0.3">
      <c r="A6" s="4" t="s">
        <v>24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8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8" ht="18.600000000000001" thickBot="1" x14ac:dyDescent="0.4">
      <c r="A8" s="32" t="s">
        <v>2</v>
      </c>
      <c r="B8" s="33"/>
      <c r="C8" s="33"/>
      <c r="D8" s="33"/>
      <c r="E8" s="33"/>
      <c r="F8" s="33"/>
      <c r="G8" s="33"/>
      <c r="H8" s="33"/>
      <c r="I8" s="34"/>
      <c r="J8" s="32" t="s">
        <v>3</v>
      </c>
      <c r="K8" s="33"/>
      <c r="L8" s="33"/>
      <c r="M8" s="33"/>
      <c r="N8" s="33"/>
      <c r="O8" s="33"/>
      <c r="P8" s="34"/>
    </row>
    <row r="9" spans="1:18" ht="58.8" customHeight="1" thickBot="1" x14ac:dyDescent="0.35">
      <c r="A9" s="5" t="s">
        <v>4</v>
      </c>
      <c r="B9" s="6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8" t="s">
        <v>10</v>
      </c>
      <c r="H9" s="9" t="s">
        <v>11</v>
      </c>
      <c r="I9" s="10" t="s">
        <v>12</v>
      </c>
      <c r="J9" s="11" t="s">
        <v>13</v>
      </c>
      <c r="K9" s="7" t="s">
        <v>14</v>
      </c>
      <c r="L9" s="11" t="s">
        <v>15</v>
      </c>
      <c r="M9" s="11" t="s">
        <v>16</v>
      </c>
      <c r="N9" s="7" t="s">
        <v>17</v>
      </c>
      <c r="O9" s="12" t="s">
        <v>11</v>
      </c>
      <c r="P9" s="13" t="s">
        <v>18</v>
      </c>
    </row>
    <row r="10" spans="1:18" ht="38.4" customHeight="1" thickBot="1" x14ac:dyDescent="0.35">
      <c r="A10" s="14" t="s">
        <v>19</v>
      </c>
      <c r="B10" s="15">
        <f>430-232</f>
        <v>198</v>
      </c>
      <c r="C10" s="16">
        <f>6816.5-3671</f>
        <v>3145.5</v>
      </c>
      <c r="D10" s="17" t="s">
        <v>20</v>
      </c>
      <c r="E10" s="18"/>
      <c r="F10" s="19"/>
      <c r="G10" s="20"/>
      <c r="H10" s="20"/>
      <c r="I10" s="21"/>
      <c r="J10" s="22"/>
      <c r="K10" s="23"/>
      <c r="L10" s="24">
        <v>3133</v>
      </c>
      <c r="M10" s="25">
        <f>+L10/C10</f>
        <v>0.99602606898744239</v>
      </c>
      <c r="N10" s="26" t="s">
        <v>21</v>
      </c>
      <c r="O10" s="35">
        <v>15</v>
      </c>
      <c r="P10" s="37">
        <f>+O10*8.5</f>
        <v>127.5</v>
      </c>
    </row>
    <row r="11" spans="1:18" ht="38.4" customHeight="1" thickBot="1" x14ac:dyDescent="0.35">
      <c r="A11" s="14" t="s">
        <v>25</v>
      </c>
      <c r="B11" s="15">
        <f>34-25</f>
        <v>9</v>
      </c>
      <c r="C11" s="16">
        <f>835-591-20-3</f>
        <v>221</v>
      </c>
      <c r="D11" s="17" t="s">
        <v>26</v>
      </c>
      <c r="E11" s="18"/>
      <c r="F11" s="19"/>
      <c r="G11" s="20"/>
      <c r="H11" s="20"/>
      <c r="I11" s="21"/>
      <c r="J11" s="22"/>
      <c r="K11" s="23"/>
      <c r="L11" s="24">
        <v>216</v>
      </c>
      <c r="M11" s="25">
        <f>+L11/C11</f>
        <v>0.9773755656108597</v>
      </c>
      <c r="N11" s="26" t="s">
        <v>21</v>
      </c>
      <c r="O11" s="36"/>
      <c r="P11" s="38"/>
    </row>
  </sheetData>
  <mergeCells count="6">
    <mergeCell ref="L2:P2"/>
    <mergeCell ref="A3:P3"/>
    <mergeCell ref="A8:I8"/>
    <mergeCell ref="J8:P8"/>
    <mergeCell ref="O10:O11"/>
    <mergeCell ref="P10:P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D0FC9-5978-4CC6-8C31-76C60F6173E3}">
  <dimension ref="A1:R12"/>
  <sheetViews>
    <sheetView topLeftCell="A7" workbookViewId="0">
      <selection activeCell="B24" sqref="B24"/>
    </sheetView>
  </sheetViews>
  <sheetFormatPr baseColWidth="10" defaultRowHeight="14.4" x14ac:dyDescent="0.3"/>
  <cols>
    <col min="1" max="1" width="27.109375" customWidth="1"/>
    <col min="2" max="2" width="9.5546875" customWidth="1"/>
    <col min="3" max="3" width="9.88671875" customWidth="1"/>
    <col min="4" max="4" width="26.77734375" customWidth="1"/>
    <col min="5" max="5" width="12.6640625" hidden="1" customWidth="1"/>
    <col min="6" max="6" width="0" hidden="1" customWidth="1"/>
    <col min="7" max="7" width="11.88671875" hidden="1" customWidth="1"/>
    <col min="8" max="8" width="10.6640625" hidden="1" customWidth="1"/>
    <col min="9" max="9" width="9.88671875" hidden="1" customWidth="1"/>
    <col min="10" max="10" width="11.109375" hidden="1" customWidth="1"/>
    <col min="11" max="11" width="0.5546875" hidden="1" customWidth="1"/>
    <col min="13" max="13" width="11.77734375" customWidth="1"/>
    <col min="14" max="14" width="17" customWidth="1"/>
    <col min="15" max="15" width="13.77734375" customWidth="1"/>
    <col min="16" max="16" width="13.21875" customWidth="1"/>
  </cols>
  <sheetData>
    <row r="1" spans="1:18" x14ac:dyDescent="0.3">
      <c r="A1" s="1" t="s">
        <v>0</v>
      </c>
      <c r="B1" s="1"/>
    </row>
    <row r="2" spans="1:18" x14ac:dyDescent="0.3">
      <c r="A2" s="1"/>
      <c r="B2" s="1"/>
      <c r="L2" s="28" t="s">
        <v>29</v>
      </c>
      <c r="M2" s="28"/>
      <c r="N2" s="28"/>
      <c r="O2" s="28"/>
      <c r="P2" s="28"/>
      <c r="Q2" s="2"/>
      <c r="R2" s="2"/>
    </row>
    <row r="3" spans="1:18" ht="36" x14ac:dyDescent="0.3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Q3" s="3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8" ht="15.6" x14ac:dyDescent="0.3">
      <c r="A5" s="4" t="s">
        <v>27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8" ht="15.6" x14ac:dyDescent="0.3">
      <c r="A6" s="4" t="s">
        <v>28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8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8" ht="18.600000000000001" thickBot="1" x14ac:dyDescent="0.4">
      <c r="A8" s="32" t="s">
        <v>2</v>
      </c>
      <c r="B8" s="33"/>
      <c r="C8" s="33"/>
      <c r="D8" s="33"/>
      <c r="E8" s="33"/>
      <c r="F8" s="33"/>
      <c r="G8" s="33"/>
      <c r="H8" s="33"/>
      <c r="I8" s="34"/>
      <c r="J8" s="32" t="s">
        <v>3</v>
      </c>
      <c r="K8" s="33"/>
      <c r="L8" s="33"/>
      <c r="M8" s="33"/>
      <c r="N8" s="33"/>
      <c r="O8" s="33"/>
      <c r="P8" s="34"/>
    </row>
    <row r="9" spans="1:18" ht="58.8" customHeight="1" thickBot="1" x14ac:dyDescent="0.35">
      <c r="A9" s="5" t="s">
        <v>4</v>
      </c>
      <c r="B9" s="6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8" t="s">
        <v>10</v>
      </c>
      <c r="H9" s="9" t="s">
        <v>11</v>
      </c>
      <c r="I9" s="10" t="s">
        <v>12</v>
      </c>
      <c r="J9" s="11" t="s">
        <v>13</v>
      </c>
      <c r="K9" s="7" t="s">
        <v>14</v>
      </c>
      <c r="L9" s="11" t="s">
        <v>15</v>
      </c>
      <c r="M9" s="11" t="s">
        <v>16</v>
      </c>
      <c r="N9" s="7" t="s">
        <v>17</v>
      </c>
      <c r="O9" s="12" t="s">
        <v>11</v>
      </c>
      <c r="P9" s="13" t="s">
        <v>18</v>
      </c>
    </row>
    <row r="10" spans="1:18" ht="38.4" customHeight="1" thickBot="1" x14ac:dyDescent="0.35">
      <c r="A10" s="14" t="s">
        <v>30</v>
      </c>
      <c r="B10" s="15">
        <f>25-1</f>
        <v>24</v>
      </c>
      <c r="C10" s="16">
        <f>591-26</f>
        <v>565</v>
      </c>
      <c r="D10" s="17" t="s">
        <v>33</v>
      </c>
      <c r="E10" s="18"/>
      <c r="F10" s="19"/>
      <c r="G10" s="20"/>
      <c r="H10" s="20"/>
      <c r="I10" s="21"/>
      <c r="J10" s="22"/>
      <c r="K10" s="23"/>
      <c r="L10" s="24">
        <v>564</v>
      </c>
      <c r="M10" s="25">
        <f>+L10/C10</f>
        <v>0.99823008849557526</v>
      </c>
      <c r="N10" s="26" t="s">
        <v>21</v>
      </c>
      <c r="O10" s="35">
        <v>14</v>
      </c>
      <c r="P10" s="37">
        <f>+O10*8.5</f>
        <v>119</v>
      </c>
    </row>
    <row r="11" spans="1:18" ht="38.4" customHeight="1" thickBot="1" x14ac:dyDescent="0.35">
      <c r="A11" s="14" t="s">
        <v>31</v>
      </c>
      <c r="B11" s="15">
        <f>66-1</f>
        <v>65</v>
      </c>
      <c r="C11" s="16">
        <f>1798.5-20</f>
        <v>1778.5</v>
      </c>
      <c r="D11" s="17" t="s">
        <v>33</v>
      </c>
      <c r="E11" s="18"/>
      <c r="F11" s="19"/>
      <c r="G11" s="20"/>
      <c r="H11" s="20"/>
      <c r="I11" s="21"/>
      <c r="J11" s="22"/>
      <c r="K11" s="23"/>
      <c r="L11" s="24">
        <v>1764</v>
      </c>
      <c r="M11" s="25">
        <f t="shared" ref="M11:M12" si="0">+L11/C11</f>
        <v>0.99184706213100926</v>
      </c>
      <c r="N11" s="26" t="s">
        <v>21</v>
      </c>
      <c r="O11" s="39"/>
      <c r="P11" s="40"/>
    </row>
    <row r="12" spans="1:18" ht="38.4" customHeight="1" thickBot="1" x14ac:dyDescent="0.35">
      <c r="A12" s="14" t="s">
        <v>32</v>
      </c>
      <c r="B12" s="15">
        <v>35</v>
      </c>
      <c r="C12" s="16">
        <v>850</v>
      </c>
      <c r="D12" s="17" t="s">
        <v>33</v>
      </c>
      <c r="E12" s="18"/>
      <c r="F12" s="19"/>
      <c r="G12" s="20"/>
      <c r="H12" s="20"/>
      <c r="I12" s="21"/>
      <c r="J12" s="22"/>
      <c r="K12" s="23"/>
      <c r="L12" s="24">
        <v>852</v>
      </c>
      <c r="M12" s="25">
        <f t="shared" si="0"/>
        <v>1.0023529411764707</v>
      </c>
      <c r="N12" s="26" t="s">
        <v>21</v>
      </c>
      <c r="O12" s="36"/>
      <c r="P12" s="38"/>
    </row>
  </sheetData>
  <mergeCells count="6">
    <mergeCell ref="L2:P2"/>
    <mergeCell ref="A3:P3"/>
    <mergeCell ref="A8:I8"/>
    <mergeCell ref="J8:P8"/>
    <mergeCell ref="O10:O12"/>
    <mergeCell ref="P10:P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13A8-86CD-43FF-8F1B-30FD2D799D24}">
  <dimension ref="A1:R11"/>
  <sheetViews>
    <sheetView topLeftCell="A4" workbookViewId="0">
      <selection activeCell="N17" sqref="N17"/>
    </sheetView>
  </sheetViews>
  <sheetFormatPr baseColWidth="10" defaultRowHeight="14.4" x14ac:dyDescent="0.3"/>
  <cols>
    <col min="1" max="1" width="27.109375" customWidth="1"/>
    <col min="2" max="2" width="9.5546875" customWidth="1"/>
    <col min="3" max="3" width="9.88671875" customWidth="1"/>
    <col min="4" max="4" width="26.77734375" customWidth="1"/>
    <col min="5" max="5" width="12.6640625" hidden="1" customWidth="1"/>
    <col min="6" max="6" width="0" hidden="1" customWidth="1"/>
    <col min="7" max="7" width="11.88671875" hidden="1" customWidth="1"/>
    <col min="8" max="8" width="10.6640625" hidden="1" customWidth="1"/>
    <col min="9" max="9" width="9.88671875" hidden="1" customWidth="1"/>
    <col min="10" max="10" width="11.109375" hidden="1" customWidth="1"/>
    <col min="11" max="11" width="0.5546875" hidden="1" customWidth="1"/>
    <col min="13" max="13" width="11.77734375" customWidth="1"/>
    <col min="14" max="14" width="17" customWidth="1"/>
    <col min="15" max="15" width="13.77734375" customWidth="1"/>
    <col min="16" max="16" width="13.21875" customWidth="1"/>
  </cols>
  <sheetData>
    <row r="1" spans="1:18" x14ac:dyDescent="0.3">
      <c r="A1" s="1" t="s">
        <v>0</v>
      </c>
      <c r="B1" s="1"/>
    </row>
    <row r="2" spans="1:18" x14ac:dyDescent="0.3">
      <c r="A2" s="1"/>
      <c r="B2" s="1"/>
      <c r="L2" s="28" t="s">
        <v>34</v>
      </c>
      <c r="M2" s="28"/>
      <c r="N2" s="28"/>
      <c r="O2" s="28"/>
      <c r="P2" s="28"/>
      <c r="Q2" s="2"/>
      <c r="R2" s="2"/>
    </row>
    <row r="3" spans="1:18" ht="36" x14ac:dyDescent="0.3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Q3" s="3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8" ht="15.6" x14ac:dyDescent="0.3">
      <c r="A5" s="4" t="s">
        <v>27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8" ht="15.6" x14ac:dyDescent="0.3">
      <c r="A6" s="4" t="s">
        <v>35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8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8" ht="18.600000000000001" thickBot="1" x14ac:dyDescent="0.4">
      <c r="A8" s="32" t="s">
        <v>2</v>
      </c>
      <c r="B8" s="33"/>
      <c r="C8" s="33"/>
      <c r="D8" s="33"/>
      <c r="E8" s="33"/>
      <c r="F8" s="33"/>
      <c r="G8" s="33"/>
      <c r="H8" s="33"/>
      <c r="I8" s="34"/>
      <c r="J8" s="32" t="s">
        <v>3</v>
      </c>
      <c r="K8" s="33"/>
      <c r="L8" s="33"/>
      <c r="M8" s="33"/>
      <c r="N8" s="33"/>
      <c r="O8" s="33"/>
      <c r="P8" s="34"/>
    </row>
    <row r="9" spans="1:18" ht="58.8" customHeight="1" thickBot="1" x14ac:dyDescent="0.35">
      <c r="A9" s="5" t="s">
        <v>4</v>
      </c>
      <c r="B9" s="6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8" t="s">
        <v>10</v>
      </c>
      <c r="H9" s="9" t="s">
        <v>11</v>
      </c>
      <c r="I9" s="10" t="s">
        <v>12</v>
      </c>
      <c r="J9" s="11" t="s">
        <v>13</v>
      </c>
      <c r="K9" s="7" t="s">
        <v>14</v>
      </c>
      <c r="L9" s="11" t="s">
        <v>15</v>
      </c>
      <c r="M9" s="11" t="s">
        <v>16</v>
      </c>
      <c r="N9" s="7" t="s">
        <v>17</v>
      </c>
      <c r="O9" s="12" t="s">
        <v>11</v>
      </c>
      <c r="P9" s="13" t="s">
        <v>18</v>
      </c>
    </row>
    <row r="10" spans="1:18" ht="38.4" customHeight="1" thickBot="1" x14ac:dyDescent="0.35">
      <c r="A10" s="14" t="s">
        <v>30</v>
      </c>
      <c r="B10" s="15">
        <f>31-24</f>
        <v>7</v>
      </c>
      <c r="C10" s="16">
        <f>854-659</f>
        <v>195</v>
      </c>
      <c r="D10" s="17" t="s">
        <v>33</v>
      </c>
      <c r="E10" s="18"/>
      <c r="F10" s="19"/>
      <c r="G10" s="20"/>
      <c r="H10" s="20"/>
      <c r="I10" s="21"/>
      <c r="J10" s="22"/>
      <c r="K10" s="23"/>
      <c r="L10" s="24">
        <f>180+20</f>
        <v>200</v>
      </c>
      <c r="M10" s="27">
        <f>+L10/C10</f>
        <v>1.0256410256410255</v>
      </c>
      <c r="N10" s="26" t="s">
        <v>21</v>
      </c>
      <c r="O10" s="35">
        <v>21</v>
      </c>
      <c r="P10" s="37">
        <f>+O10*8.5</f>
        <v>178.5</v>
      </c>
    </row>
    <row r="11" spans="1:18" ht="38.4" customHeight="1" thickBot="1" x14ac:dyDescent="0.35">
      <c r="A11" s="14" t="s">
        <v>32</v>
      </c>
      <c r="B11" s="15">
        <f>174-1</f>
        <v>173</v>
      </c>
      <c r="C11" s="16">
        <f>4349-15.5</f>
        <v>4333.5</v>
      </c>
      <c r="D11" s="17" t="s">
        <v>33</v>
      </c>
      <c r="E11" s="18"/>
      <c r="F11" s="19"/>
      <c r="G11" s="20"/>
      <c r="H11" s="20"/>
      <c r="I11" s="21"/>
      <c r="J11" s="22"/>
      <c r="K11" s="23"/>
      <c r="L11" s="24">
        <v>4320</v>
      </c>
      <c r="M11" s="27">
        <f t="shared" ref="M11" si="0">+L11/C11</f>
        <v>0.99688473520249221</v>
      </c>
      <c r="N11" s="26" t="s">
        <v>21</v>
      </c>
      <c r="O11" s="36"/>
      <c r="P11" s="38"/>
    </row>
  </sheetData>
  <mergeCells count="6">
    <mergeCell ref="L2:P2"/>
    <mergeCell ref="A3:P3"/>
    <mergeCell ref="A8:I8"/>
    <mergeCell ref="J8:P8"/>
    <mergeCell ref="O10:O11"/>
    <mergeCell ref="P10:P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28EB-0001-4DA6-AC2E-401EE274A0F0}">
  <dimension ref="A1:R10"/>
  <sheetViews>
    <sheetView tabSelected="1" workbookViewId="0">
      <selection activeCell="O5" sqref="O5"/>
    </sheetView>
  </sheetViews>
  <sheetFormatPr baseColWidth="10" defaultRowHeight="14.4" x14ac:dyDescent="0.3"/>
  <cols>
    <col min="1" max="1" width="27.109375" customWidth="1"/>
    <col min="2" max="2" width="9.5546875" customWidth="1"/>
    <col min="3" max="3" width="9.88671875" customWidth="1"/>
    <col min="4" max="4" width="26.77734375" customWidth="1"/>
    <col min="5" max="5" width="12.6640625" hidden="1" customWidth="1"/>
    <col min="6" max="6" width="0" hidden="1" customWidth="1"/>
    <col min="7" max="7" width="11.88671875" hidden="1" customWidth="1"/>
    <col min="8" max="8" width="10.6640625" hidden="1" customWidth="1"/>
    <col min="9" max="9" width="9.88671875" hidden="1" customWidth="1"/>
    <col min="10" max="10" width="11.109375" hidden="1" customWidth="1"/>
    <col min="11" max="11" width="0.5546875" hidden="1" customWidth="1"/>
    <col min="13" max="13" width="11.77734375" customWidth="1"/>
    <col min="14" max="14" width="17" customWidth="1"/>
    <col min="15" max="15" width="13.77734375" customWidth="1"/>
    <col min="16" max="16" width="13.21875" customWidth="1"/>
  </cols>
  <sheetData>
    <row r="1" spans="1:18" x14ac:dyDescent="0.3">
      <c r="A1" s="1" t="s">
        <v>0</v>
      </c>
      <c r="B1" s="1"/>
    </row>
    <row r="2" spans="1:18" x14ac:dyDescent="0.3">
      <c r="A2" s="1"/>
      <c r="B2" s="1"/>
      <c r="L2" s="28" t="s">
        <v>37</v>
      </c>
      <c r="M2" s="28"/>
      <c r="N2" s="28"/>
      <c r="O2" s="28"/>
      <c r="P2" s="28"/>
      <c r="Q2" s="2"/>
      <c r="R2" s="2"/>
    </row>
    <row r="3" spans="1:18" ht="36" x14ac:dyDescent="0.3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1"/>
      <c r="Q3" s="3"/>
    </row>
    <row r="4" spans="1:18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8" ht="15.6" x14ac:dyDescent="0.3">
      <c r="A5" s="4" t="s">
        <v>27</v>
      </c>
      <c r="B5" s="4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8" ht="15.6" x14ac:dyDescent="0.3">
      <c r="A6" s="4" t="s">
        <v>36</v>
      </c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8" ht="15" thickBo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8" ht="18.600000000000001" thickBot="1" x14ac:dyDescent="0.4">
      <c r="A8" s="32" t="s">
        <v>2</v>
      </c>
      <c r="B8" s="33"/>
      <c r="C8" s="33"/>
      <c r="D8" s="33"/>
      <c r="E8" s="33"/>
      <c r="F8" s="33"/>
      <c r="G8" s="33"/>
      <c r="H8" s="33"/>
      <c r="I8" s="34"/>
      <c r="J8" s="32" t="s">
        <v>3</v>
      </c>
      <c r="K8" s="33"/>
      <c r="L8" s="33"/>
      <c r="M8" s="33"/>
      <c r="N8" s="33"/>
      <c r="O8" s="33"/>
      <c r="P8" s="34"/>
    </row>
    <row r="9" spans="1:18" ht="58.8" customHeight="1" thickBot="1" x14ac:dyDescent="0.35">
      <c r="A9" s="5" t="s">
        <v>4</v>
      </c>
      <c r="B9" s="6" t="s">
        <v>5</v>
      </c>
      <c r="C9" s="7" t="s">
        <v>6</v>
      </c>
      <c r="D9" s="7" t="s">
        <v>7</v>
      </c>
      <c r="E9" s="7" t="s">
        <v>8</v>
      </c>
      <c r="F9" s="7" t="s">
        <v>9</v>
      </c>
      <c r="G9" s="8" t="s">
        <v>10</v>
      </c>
      <c r="H9" s="9" t="s">
        <v>11</v>
      </c>
      <c r="I9" s="10" t="s">
        <v>12</v>
      </c>
      <c r="J9" s="11" t="s">
        <v>13</v>
      </c>
      <c r="K9" s="7" t="s">
        <v>14</v>
      </c>
      <c r="L9" s="11" t="s">
        <v>15</v>
      </c>
      <c r="M9" s="11" t="s">
        <v>16</v>
      </c>
      <c r="N9" s="7" t="s">
        <v>17</v>
      </c>
      <c r="O9" s="12" t="s">
        <v>11</v>
      </c>
      <c r="P9" s="13" t="s">
        <v>18</v>
      </c>
    </row>
    <row r="10" spans="1:18" ht="38.4" customHeight="1" thickBot="1" x14ac:dyDescent="0.35">
      <c r="A10" s="14" t="s">
        <v>30</v>
      </c>
      <c r="B10" s="15">
        <f>54</f>
        <v>54</v>
      </c>
      <c r="C10" s="16">
        <f>1483-4.54</f>
        <v>1478.46</v>
      </c>
      <c r="D10" s="17" t="s">
        <v>33</v>
      </c>
      <c r="E10" s="18"/>
      <c r="F10" s="19"/>
      <c r="G10" s="20"/>
      <c r="H10" s="20"/>
      <c r="I10" s="21"/>
      <c r="J10" s="22"/>
      <c r="K10" s="23"/>
      <c r="L10" s="24">
        <v>1476</v>
      </c>
      <c r="M10" s="27">
        <f>+L10/C10</f>
        <v>0.99833610648918469</v>
      </c>
      <c r="N10" s="26" t="s">
        <v>21</v>
      </c>
      <c r="O10" s="41">
        <v>17</v>
      </c>
      <c r="P10" s="42">
        <f>+O10*5</f>
        <v>85</v>
      </c>
    </row>
  </sheetData>
  <mergeCells count="4">
    <mergeCell ref="L2:P2"/>
    <mergeCell ref="A3:P3"/>
    <mergeCell ref="A8:I8"/>
    <mergeCell ref="J8:P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6BBE-3575-42D7-9F3C-B7870A2E8A91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01-05-2026 </vt:lpstr>
      <vt:lpstr>02-05-2026  (2)</vt:lpstr>
      <vt:lpstr>04-05-2026 </vt:lpstr>
      <vt:lpstr>05-05-2026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 Info</dc:creator>
  <cp:lastModifiedBy>Gros Info</cp:lastModifiedBy>
  <dcterms:created xsi:type="dcterms:W3CDTF">2026-05-02T13:01:40Z</dcterms:created>
  <dcterms:modified xsi:type="dcterms:W3CDTF">2026-05-07T14:52:53Z</dcterms:modified>
</cp:coreProperties>
</file>