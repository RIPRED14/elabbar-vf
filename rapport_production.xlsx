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/Downloads/"/>
    </mc:Choice>
  </mc:AlternateContent>
  <xr:revisionPtr revIDLastSave="0" documentId="13_ncr:1_{D282E746-AF22-8741-BF4E-FA9A0A9DFBA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apport P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E10" i="1"/>
  <c r="I8" i="1"/>
  <c r="I9" i="1"/>
  <c r="I10" i="1"/>
  <c r="I12" i="1"/>
  <c r="I13" i="1"/>
  <c r="I14" i="1"/>
  <c r="I15" i="1"/>
  <c r="I5" i="1"/>
  <c r="F5" i="1"/>
</calcChain>
</file>

<file path=xl/sharedStrings.xml><?xml version="1.0" encoding="utf-8"?>
<sst xmlns="http://schemas.openxmlformats.org/spreadsheetml/2006/main" count="41" uniqueCount="33">
  <si>
    <t>RAPPORT DE LA PRODUCTION DU 01/01/2026 AU 31/03/2026</t>
  </si>
  <si>
    <t>ESPECE</t>
  </si>
  <si>
    <t>TYPE</t>
  </si>
  <si>
    <t>RENDEMENT</t>
  </si>
  <si>
    <t>STOCK</t>
  </si>
  <si>
    <t>Nbc</t>
  </si>
  <si>
    <t>Quantité Kg</t>
  </si>
  <si>
    <t>BURRO</t>
  </si>
  <si>
    <t>ABADECHE</t>
  </si>
  <si>
    <t>97%</t>
  </si>
  <si>
    <t>BESUGO</t>
  </si>
  <si>
    <t>BOGUE</t>
  </si>
  <si>
    <t>BESUGO AFRIC</t>
  </si>
  <si>
    <t>MERLAN</t>
  </si>
  <si>
    <t>98%</t>
  </si>
  <si>
    <t>SOLE</t>
  </si>
  <si>
    <t>102%</t>
  </si>
  <si>
    <t>PARGO</t>
  </si>
  <si>
    <t>PETIT PAGEOT</t>
  </si>
  <si>
    <t>PARGO AFRIC</t>
  </si>
  <si>
    <t>POTA</t>
  </si>
  <si>
    <t>TUBE DE CALAMAR</t>
  </si>
  <si>
    <t>92%</t>
  </si>
  <si>
    <t>POTON</t>
  </si>
  <si>
    <t>POTON ENT
LAMELLE</t>
  </si>
  <si>
    <t>87%</t>
  </si>
  <si>
    <t>SARDINE</t>
  </si>
  <si>
    <t>100%</t>
  </si>
  <si>
    <t>ANCHOIS</t>
  </si>
  <si>
    <t>99%</t>
  </si>
  <si>
    <t>MATIERE. PREMIERE</t>
  </si>
  <si>
    <t>PRODUIT FINI</t>
  </si>
  <si>
    <t>pf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</si>
</sst>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1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N8" sqref="N8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8" customWidth="1"/>
    <col min="4" max="4" width="13" customWidth="1"/>
    <col min="5" max="5" width="8" customWidth="1"/>
    <col min="6" max="7" width="13" customWidth="1"/>
    <col min="8" max="8" width="10" customWidth="1"/>
  </cols>
  <sheetData>
    <row r="1" spans="1:9" ht="25" customHeight="1" x14ac:dyDescent="0.2">
      <c r="A1" s="9" t="s">
        <v>0</v>
      </c>
      <c r="B1" s="8"/>
      <c r="C1" s="8"/>
      <c r="D1" s="8"/>
      <c r="E1" s="8"/>
      <c r="F1" s="8"/>
      <c r="G1" s="8"/>
      <c r="H1" s="8"/>
    </row>
    <row r="2" spans="1:9" ht="5" customHeight="1" x14ac:dyDescent="0.2"/>
    <row r="3" spans="1:9" ht="18" customHeight="1" x14ac:dyDescent="0.2">
      <c r="A3" s="7" t="s">
        <v>1</v>
      </c>
      <c r="B3" s="7" t="s">
        <v>2</v>
      </c>
      <c r="C3" s="10" t="s">
        <v>30</v>
      </c>
      <c r="D3" s="8"/>
      <c r="E3" s="10" t="s">
        <v>31</v>
      </c>
      <c r="F3" s="8"/>
      <c r="G3" s="7" t="s">
        <v>3</v>
      </c>
      <c r="H3" s="7" t="s">
        <v>4</v>
      </c>
      <c r="I3" s="19" t="s">
        <v>32</v>
      </c>
    </row>
    <row r="4" spans="1:9" ht="18" customHeight="1" x14ac:dyDescent="0.2">
      <c r="A4" s="8"/>
      <c r="B4" s="8"/>
      <c r="C4" s="1" t="s">
        <v>5</v>
      </c>
      <c r="D4" s="1" t="s">
        <v>6</v>
      </c>
      <c r="E4" s="1" t="s">
        <v>5</v>
      </c>
      <c r="F4" s="1" t="s">
        <v>6</v>
      </c>
      <c r="G4" s="8"/>
      <c r="H4" s="8"/>
      <c r="I4" s="19"/>
    </row>
    <row r="5" spans="1:9" ht="20" customHeight="1" x14ac:dyDescent="0.2">
      <c r="A5" s="2" t="s">
        <v>7</v>
      </c>
      <c r="B5" s="2" t="s">
        <v>8</v>
      </c>
      <c r="C5" s="2"/>
      <c r="D5" s="2">
        <v>30691.96</v>
      </c>
      <c r="E5" s="2"/>
      <c r="F5" s="2">
        <f>29720</f>
        <v>29720</v>
      </c>
      <c r="G5" s="2" t="s">
        <v>9</v>
      </c>
      <c r="H5" s="2">
        <v>47</v>
      </c>
      <c r="I5">
        <f>F5+H5</f>
        <v>29767</v>
      </c>
    </row>
    <row r="6" spans="1:9" ht="20" customHeight="1" x14ac:dyDescent="0.2">
      <c r="A6" s="2" t="s">
        <v>10</v>
      </c>
      <c r="B6" s="5" t="s">
        <v>11</v>
      </c>
      <c r="C6" s="2"/>
      <c r="D6" s="2">
        <v>23117.89</v>
      </c>
      <c r="E6" s="11">
        <v>25852</v>
      </c>
      <c r="F6" s="12"/>
      <c r="G6" s="5" t="s">
        <v>9</v>
      </c>
      <c r="H6" s="5">
        <v>179</v>
      </c>
      <c r="I6" s="20">
        <f>E6+H6</f>
        <v>26031</v>
      </c>
    </row>
    <row r="7" spans="1:9" ht="20" customHeight="1" x14ac:dyDescent="0.2">
      <c r="A7" s="2" t="s">
        <v>12</v>
      </c>
      <c r="B7" s="6"/>
      <c r="C7" s="2"/>
      <c r="D7" s="2">
        <v>3600</v>
      </c>
      <c r="E7" s="13"/>
      <c r="F7" s="14"/>
      <c r="G7" s="6"/>
      <c r="H7" s="6"/>
      <c r="I7" s="20"/>
    </row>
    <row r="8" spans="1:9" ht="20" customHeight="1" x14ac:dyDescent="0.2">
      <c r="A8" s="2" t="s">
        <v>13</v>
      </c>
      <c r="B8" s="2" t="s">
        <v>13</v>
      </c>
      <c r="C8" s="2"/>
      <c r="D8" s="2">
        <v>51467.32</v>
      </c>
      <c r="E8" s="2"/>
      <c r="F8" s="2">
        <v>49019</v>
      </c>
      <c r="G8" s="2" t="s">
        <v>14</v>
      </c>
      <c r="H8" s="2">
        <v>1407.3</v>
      </c>
      <c r="I8">
        <f t="shared" ref="I6:I15" si="0">F8+H8</f>
        <v>50426.3</v>
      </c>
    </row>
    <row r="9" spans="1:9" ht="20" customHeight="1" x14ac:dyDescent="0.2">
      <c r="A9" s="2" t="s">
        <v>15</v>
      </c>
      <c r="B9" s="2" t="s">
        <v>15</v>
      </c>
      <c r="C9" s="2"/>
      <c r="D9" s="2">
        <v>35923.800000000003</v>
      </c>
      <c r="E9" s="2"/>
      <c r="F9" s="2">
        <v>13012</v>
      </c>
      <c r="G9" s="3" t="s">
        <v>16</v>
      </c>
      <c r="H9" s="2">
        <v>23459</v>
      </c>
      <c r="I9">
        <f t="shared" si="0"/>
        <v>36471</v>
      </c>
    </row>
    <row r="10" spans="1:9" ht="20" customHeight="1" x14ac:dyDescent="0.2">
      <c r="A10" s="2" t="s">
        <v>17</v>
      </c>
      <c r="B10" s="5" t="s">
        <v>18</v>
      </c>
      <c r="C10" s="2"/>
      <c r="D10" s="2">
        <v>46383.3</v>
      </c>
      <c r="E10" s="15">
        <f>45420+3057</f>
        <v>48477</v>
      </c>
      <c r="F10" s="16"/>
      <c r="G10" s="5" t="s">
        <v>9</v>
      </c>
      <c r="H10" s="5">
        <v>101</v>
      </c>
      <c r="I10" s="20">
        <f>E10+H10</f>
        <v>48578</v>
      </c>
    </row>
    <row r="11" spans="1:9" ht="20" customHeight="1" x14ac:dyDescent="0.2">
      <c r="A11" s="2" t="s">
        <v>19</v>
      </c>
      <c r="B11" s="6"/>
      <c r="C11" s="2"/>
      <c r="D11" s="2">
        <v>350</v>
      </c>
      <c r="E11" s="17"/>
      <c r="F11" s="18"/>
      <c r="G11" s="6"/>
      <c r="H11" s="6"/>
      <c r="I11" s="20"/>
    </row>
    <row r="12" spans="1:9" ht="20" customHeight="1" x14ac:dyDescent="0.2">
      <c r="A12" s="2" t="s">
        <v>20</v>
      </c>
      <c r="B12" s="2" t="s">
        <v>21</v>
      </c>
      <c r="C12" s="2"/>
      <c r="D12" s="2">
        <v>17376.45</v>
      </c>
      <c r="E12" s="2"/>
      <c r="F12" s="2">
        <v>13507</v>
      </c>
      <c r="G12" s="2" t="s">
        <v>22</v>
      </c>
      <c r="H12" s="2">
        <v>2470</v>
      </c>
      <c r="I12">
        <f t="shared" si="0"/>
        <v>15977</v>
      </c>
    </row>
    <row r="13" spans="1:9" ht="30" customHeight="1" x14ac:dyDescent="0.2">
      <c r="A13" s="2" t="s">
        <v>23</v>
      </c>
      <c r="B13" s="2" t="s">
        <v>24</v>
      </c>
      <c r="C13" s="2"/>
      <c r="D13" s="2">
        <v>29229.8</v>
      </c>
      <c r="E13" s="2"/>
      <c r="F13" s="2">
        <v>8160</v>
      </c>
      <c r="G13" s="4" t="s">
        <v>25</v>
      </c>
      <c r="H13" s="2">
        <v>17412</v>
      </c>
      <c r="I13">
        <f t="shared" si="0"/>
        <v>25572</v>
      </c>
    </row>
    <row r="14" spans="1:9" ht="20" customHeight="1" x14ac:dyDescent="0.2">
      <c r="A14" s="2" t="s">
        <v>26</v>
      </c>
      <c r="B14" s="2" t="s">
        <v>26</v>
      </c>
      <c r="C14" s="2"/>
      <c r="D14" s="2">
        <v>24200</v>
      </c>
      <c r="E14" s="2"/>
      <c r="F14" s="2">
        <v>23688</v>
      </c>
      <c r="G14" s="2" t="s">
        <v>27</v>
      </c>
      <c r="H14" s="2">
        <v>456</v>
      </c>
      <c r="I14">
        <f t="shared" si="0"/>
        <v>24144</v>
      </c>
    </row>
    <row r="15" spans="1:9" ht="20" customHeight="1" x14ac:dyDescent="0.2">
      <c r="A15" s="2" t="s">
        <v>28</v>
      </c>
      <c r="B15" s="2" t="s">
        <v>28</v>
      </c>
      <c r="C15" s="2"/>
      <c r="D15" s="2">
        <v>24641</v>
      </c>
      <c r="E15" s="2"/>
      <c r="F15" s="2">
        <v>4748</v>
      </c>
      <c r="G15" s="2" t="s">
        <v>29</v>
      </c>
      <c r="H15" s="2">
        <v>19628</v>
      </c>
      <c r="I15">
        <f t="shared" si="0"/>
        <v>24376</v>
      </c>
    </row>
  </sheetData>
  <mergeCells count="18">
    <mergeCell ref="I10:I11"/>
    <mergeCell ref="I6:I7"/>
    <mergeCell ref="I3:I4"/>
    <mergeCell ref="G10:G11"/>
    <mergeCell ref="A1:H1"/>
    <mergeCell ref="B10:B11"/>
    <mergeCell ref="C3:D3"/>
    <mergeCell ref="H10:H11"/>
    <mergeCell ref="E3:F3"/>
    <mergeCell ref="E6:F7"/>
    <mergeCell ref="E10:F11"/>
    <mergeCell ref="B6:B7"/>
    <mergeCell ref="B3:B4"/>
    <mergeCell ref="A3:A4"/>
    <mergeCell ref="G3:G4"/>
    <mergeCell ref="H3:H4"/>
    <mergeCell ref="G6:G7"/>
    <mergeCell ref="H6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2026-05-15T21:33:24Z</dcterms:created>
  <dcterms:modified xsi:type="dcterms:W3CDTF">2026-05-15T21:57:24Z</dcterms:modified>
</cp:coreProperties>
</file>