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896650B6-09C7-42E7-9446-AA2B45511728}" xr6:coauthVersionLast="47" xr6:coauthVersionMax="47" xr10:uidLastSave="{00000000-0000-0000-0000-000000000000}"/>
  <bookViews>
    <workbookView xWindow="-120" yWindow="-120" windowWidth="29040" windowHeight="15840" activeTab="2" xr2:uid="{AD0D24F0-1639-4105-BA16-77370D692D66}"/>
  </bookViews>
  <sheets>
    <sheet name="TOTAL" sheetId="5" r:id="rId1"/>
    <sheet name="OUVRIERS TRAITEMENT FIXE MARS" sheetId="1" r:id="rId2"/>
    <sheet name="POINTAGE 1ER QUINZ MARS" sheetId="3" r:id="rId3"/>
    <sheet name="POINTAGE 2EME QUINZ MAR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5" l="1"/>
  <c r="B17" i="5"/>
  <c r="I6" i="5"/>
  <c r="J6" i="5"/>
  <c r="H6" i="5"/>
  <c r="G19" i="2"/>
  <c r="AB3" i="1"/>
  <c r="B13" i="1"/>
  <c r="C19" i="2" l="1"/>
  <c r="D19" i="2"/>
  <c r="E19" i="2"/>
  <c r="F19" i="2"/>
  <c r="B19" i="2"/>
  <c r="C40" i="3" l="1"/>
  <c r="D40" i="3"/>
  <c r="E40" i="3"/>
  <c r="F40" i="3"/>
  <c r="G40" i="3"/>
  <c r="H40" i="3"/>
  <c r="I40" i="3"/>
  <c r="J40" i="3"/>
  <c r="K40" i="3"/>
  <c r="L40" i="3"/>
  <c r="M40" i="3"/>
  <c r="N40" i="3"/>
  <c r="O40" i="3"/>
  <c r="B40" i="3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E13" i="1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1" i="3"/>
  <c r="P10" i="3"/>
  <c r="P9" i="3"/>
  <c r="P8" i="3"/>
  <c r="P7" i="3"/>
  <c r="P6" i="3"/>
  <c r="P5" i="3"/>
  <c r="P4" i="3"/>
  <c r="P3" i="3"/>
  <c r="P2" i="3"/>
  <c r="P40" i="3" l="1"/>
  <c r="AB13" i="1"/>
  <c r="G18" i="2"/>
  <c r="G17" i="2"/>
  <c r="G16" i="2"/>
  <c r="G15" i="2"/>
  <c r="G14" i="2"/>
  <c r="G13" i="2"/>
  <c r="G12" i="2"/>
  <c r="G11" i="2"/>
  <c r="G10" i="2"/>
  <c r="G9" i="2"/>
  <c r="G8" i="2"/>
  <c r="G6" i="2"/>
  <c r="G5" i="2"/>
  <c r="AB12" i="1"/>
  <c r="AB11" i="1"/>
  <c r="AB10" i="1"/>
  <c r="AB9" i="1"/>
  <c r="AB8" i="1"/>
  <c r="AB7" i="1"/>
  <c r="AB6" i="1"/>
  <c r="AB5" i="1"/>
  <c r="AB4" i="1"/>
</calcChain>
</file>

<file path=xl/sharedStrings.xml><?xml version="1.0" encoding="utf-8"?>
<sst xmlns="http://schemas.openxmlformats.org/spreadsheetml/2006/main" count="117" uniqueCount="83">
  <si>
    <t>NOM ET PRENOM</t>
  </si>
  <si>
    <t xml:space="preserve">total </t>
  </si>
  <si>
    <t>BOUACHIR ZAHRA</t>
  </si>
  <si>
    <t>BOUCHALA Ilham</t>
  </si>
  <si>
    <t>BOUHRAM MBARKA</t>
  </si>
  <si>
    <t>FINNA Fatima</t>
  </si>
  <si>
    <t>JRARI Malika</t>
  </si>
  <si>
    <t>KARDAD Zohra</t>
  </si>
  <si>
    <t>OUMAST Khadija</t>
  </si>
  <si>
    <t>OUMASTE Fatima</t>
  </si>
  <si>
    <t>SIDIR Zahra</t>
  </si>
  <si>
    <t>BOUCHAIB ALLIMOURI</t>
  </si>
  <si>
    <t>POINTAGE 2EME QUINZAINE MARS</t>
  </si>
  <si>
    <t>total 2EME QUINZ</t>
  </si>
  <si>
    <t>BAADI KHADOUJ</t>
  </si>
  <si>
    <t>ELBELGHITI LAILA</t>
  </si>
  <si>
    <t>EL-GHARRADI HANANE</t>
  </si>
  <si>
    <t>ESSALMI TOURIA</t>
  </si>
  <si>
    <t>ZEROUAL GHIZLANE</t>
  </si>
  <si>
    <t>EL KAKI SANA</t>
  </si>
  <si>
    <t>GHIZLANE ESSABBAHI</t>
  </si>
  <si>
    <t>AHERDANE FATIMA</t>
  </si>
  <si>
    <t>NOUHAILA EL JANATY</t>
  </si>
  <si>
    <t>AKIL SAADIA</t>
  </si>
  <si>
    <t>AARAB HICHAM</t>
  </si>
  <si>
    <t>BELLAQTOUB REDOUANE</t>
  </si>
  <si>
    <t>BOUALI RADOUANE</t>
  </si>
  <si>
    <t>FAJRI AMIN</t>
  </si>
  <si>
    <t>LAFQIRI BILAL</t>
  </si>
  <si>
    <t>MORJANE WALID</t>
  </si>
  <si>
    <t>HABIB ALLAH AZZE-EDDINE</t>
  </si>
  <si>
    <t>IDOUFSOU M’HAND</t>
  </si>
  <si>
    <t xml:space="preserve">OUJAA MOUAD </t>
  </si>
  <si>
    <t>OUTFRIT ALI</t>
  </si>
  <si>
    <t>RISSAMI HICHAM</t>
  </si>
  <si>
    <t>RISSAMI MOUAD</t>
  </si>
  <si>
    <t>SOUITER WASSIM</t>
  </si>
  <si>
    <t>ZAMHAR MOHAMED</t>
  </si>
  <si>
    <t>MARZAK ISMAIL</t>
  </si>
  <si>
    <t>M'HAND BOUABIA</t>
  </si>
  <si>
    <t>AREHAL HICHAM</t>
  </si>
  <si>
    <t>ER-RAFIKY ACHRAF</t>
  </si>
  <si>
    <t>ABOUNAIME SALAH EDDINE</t>
  </si>
  <si>
    <t>TOUGHZAOUI AMINE</t>
  </si>
  <si>
    <t>MOUFRIH IMAD</t>
  </si>
  <si>
    <t>LAFQIRI AHMED</t>
  </si>
  <si>
    <t>EL ALAMI OUSSAMA</t>
  </si>
  <si>
    <t>YABBA SALAH EDDINE</t>
  </si>
  <si>
    <t>total 1</t>
  </si>
  <si>
    <t>ZAROUAL GHIZLANE</t>
  </si>
  <si>
    <t>AABBAJ MOHAMED</t>
  </si>
  <si>
    <t>SAID EL BICH</t>
  </si>
  <si>
    <t>AHMED NEHARI</t>
  </si>
  <si>
    <t>TOTAL</t>
  </si>
  <si>
    <t>total</t>
  </si>
  <si>
    <t>CLARISTE</t>
  </si>
  <si>
    <t>SECURITE (nuit)</t>
  </si>
  <si>
    <t>SECURITE (jour)</t>
  </si>
  <si>
    <t>REG HORAIRE MARS</t>
  </si>
  <si>
    <t>PERIODE</t>
  </si>
  <si>
    <t>EFFECTIF</t>
  </si>
  <si>
    <t>TOTALE HEURE</t>
  </si>
  <si>
    <t>MONTANT</t>
  </si>
  <si>
    <t>2EME QUINZAINE MARS</t>
  </si>
  <si>
    <t>1 ER QUINZAINE MARS</t>
  </si>
  <si>
    <t>REG PERS FIXE</t>
  </si>
  <si>
    <t>PROFESSION</t>
  </si>
  <si>
    <t>SALAIRE NET MENSUEL</t>
  </si>
  <si>
    <t>RESPONSABLE QUALITE</t>
  </si>
  <si>
    <t>COMPTABILITE</t>
  </si>
  <si>
    <t>RESPONSABLE STOCK</t>
  </si>
  <si>
    <t>FEMME DE MENAGE</t>
  </si>
  <si>
    <t>CONTRÔLE ET SECURITE</t>
  </si>
  <si>
    <t>Controleur de gestion</t>
  </si>
  <si>
    <t>AIDE FRIGORISTE</t>
  </si>
  <si>
    <t>FRIGORISTE</t>
  </si>
  <si>
    <t>CONTRÔLE QUALITE</t>
  </si>
  <si>
    <t>KABRANE</t>
  </si>
  <si>
    <t>RESPONSABLE ST/CONSOMMABLE</t>
  </si>
  <si>
    <t>RESPONSABLE PRODUCTION</t>
  </si>
  <si>
    <t>MOIS MARS</t>
  </si>
  <si>
    <t>POINTAGE</t>
  </si>
  <si>
    <t>LES SALAIRES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</si>
</sst>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[hh]:mm:ss"/>
    <numFmt numFmtId="166" formatCode="0.0"/>
    <numFmt numFmtId="167" formatCode="_-* #&quot; &quot;##0.00&quot; &quot;&quot; &quot;_-;\-* #&quot; &quot;##0.00&quot; &quot;&quot; &quot;_-;_-* &quot;-&quot;??&quot; &quot;&quot; &quot;_-;_-@_-"/>
  </numFmts>
  <fonts count="1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color theme="1"/>
      <name val="Arial Narrow"/>
      <family val="2"/>
    </font>
    <font>
      <sz val="12"/>
      <color rgb="FF334155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B1F9DE"/>
        <bgColor indexed="64"/>
      </patternFill>
    </fill>
    <fill>
      <patternFill patternType="solid">
        <fgColor theme="2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164" fontId="2" fillId="0" borderId="1" xfId="0" applyNumberFormat="1" applyFont="1" applyBorder="1"/>
    <xf numFmtId="164" fontId="2" fillId="0" borderId="2" xfId="0" applyNumberFormat="1" applyFont="1" applyBorder="1"/>
    <xf numFmtId="164" fontId="3" fillId="0" borderId="1" xfId="0" applyNumberFormat="1" applyFont="1" applyBorder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6" fontId="7" fillId="2" borderId="1" xfId="0" applyNumberFormat="1" applyFont="1" applyFill="1" applyBorder="1" applyAlignment="1">
      <alignment horizontal="center" vertical="center"/>
    </xf>
    <xf numFmtId="16" fontId="8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64" fontId="10" fillId="0" borderId="1" xfId="0" applyNumberFormat="1" applyFont="1" applyBorder="1"/>
    <xf numFmtId="164" fontId="10" fillId="0" borderId="2" xfId="0" applyNumberFormat="1" applyFont="1" applyBorder="1"/>
    <xf numFmtId="165" fontId="9" fillId="0" borderId="1" xfId="0" applyNumberFormat="1" applyFont="1" applyBorder="1" applyAlignment="1">
      <alignment horizontal="center" vertical="center"/>
    </xf>
    <xf numFmtId="164" fontId="10" fillId="0" borderId="4" xfId="0" applyNumberFormat="1" applyFont="1" applyBorder="1"/>
    <xf numFmtId="0" fontId="9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0" fillId="3" borderId="1" xfId="0" applyFont="1" applyFill="1" applyBorder="1"/>
    <xf numFmtId="0" fontId="10" fillId="3" borderId="2" xfId="0" applyFont="1" applyFill="1" applyBorder="1"/>
    <xf numFmtId="0" fontId="10" fillId="3" borderId="4" xfId="0" applyFont="1" applyFill="1" applyBorder="1"/>
    <xf numFmtId="0" fontId="9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16" fontId="7" fillId="4" borderId="1" xfId="0" applyNumberFormat="1" applyFont="1" applyFill="1" applyBorder="1" applyAlignment="1">
      <alignment horizontal="center" vertical="center"/>
    </xf>
    <xf numFmtId="16" fontId="8" fillId="4" borderId="1" xfId="0" applyNumberFormat="1" applyFont="1" applyFill="1" applyBorder="1" applyAlignment="1">
      <alignment horizontal="center" vertical="center"/>
    </xf>
    <xf numFmtId="0" fontId="11" fillId="0" borderId="0" xfId="0" applyFont="1"/>
    <xf numFmtId="0" fontId="7" fillId="0" borderId="1" xfId="0" applyFont="1" applyBorder="1" applyAlignment="1">
      <alignment vertical="center" wrapText="1"/>
    </xf>
    <xf numFmtId="165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165" fontId="7" fillId="0" borderId="1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2" fontId="11" fillId="0" borderId="6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2" fontId="11" fillId="0" borderId="8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2" fontId="11" fillId="0" borderId="12" xfId="0" applyNumberFormat="1" applyFont="1" applyBorder="1" applyAlignment="1">
      <alignment horizontal="center" vertical="center"/>
    </xf>
    <xf numFmtId="167" fontId="15" fillId="5" borderId="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66" fontId="14" fillId="0" borderId="1" xfId="0" applyNumberFormat="1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167" fontId="15" fillId="5" borderId="1" xfId="0" applyNumberFormat="1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6" fontId="14" fillId="0" borderId="3" xfId="0" applyNumberFormat="1" applyFont="1" applyBorder="1" applyAlignment="1">
      <alignment horizontal="center" vertical="center"/>
    </xf>
    <xf numFmtId="2" fontId="14" fillId="0" borderId="13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2" fontId="11" fillId="0" borderId="15" xfId="0" applyNumberFormat="1" applyFont="1" applyBorder="1" applyAlignment="1">
      <alignment horizontal="center" vertical="center"/>
    </xf>
    <xf numFmtId="167" fontId="15" fillId="0" borderId="0" xfId="0" applyNumberFormat="1" applyFont="1" applyFill="1" applyBorder="1" applyAlignment="1">
      <alignment horizontal="center" vertical="center"/>
    </xf>
    <xf numFmtId="2" fontId="11" fillId="0" borderId="0" xfId="0" applyNumberFormat="1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vertical="center" wrapText="1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2" fontId="1" fillId="0" borderId="10" xfId="0" applyNumberFormat="1" applyFont="1" applyBorder="1" applyAlignment="1">
      <alignment horizontal="center" vertical="center"/>
    </xf>
    <xf numFmtId="16" fontId="1" fillId="5" borderId="17" xfId="0" applyNumberFormat="1" applyFont="1" applyFill="1" applyBorder="1" applyAlignment="1">
      <alignment horizontal="center" vertical="center"/>
    </xf>
    <xf numFmtId="16" fontId="1" fillId="5" borderId="6" xfId="0" applyNumberFormat="1" applyFont="1" applyFill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165" fontId="1" fillId="0" borderId="18" xfId="0" applyNumberFormat="1" applyFont="1" applyBorder="1" applyAlignment="1">
      <alignment vertical="center"/>
    </xf>
    <xf numFmtId="165" fontId="1" fillId="0" borderId="10" xfId="0" applyNumberFormat="1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34FAC-7086-47DA-BD13-D5377F33A581}">
  <dimension ref="A2:J28"/>
  <sheetViews>
    <sheetView workbookViewId="0">
      <selection activeCell="G10" sqref="G10"/>
    </sheetView>
  </sheetViews>
  <sheetFormatPr baseColWidth="10" defaultRowHeight="15" x14ac:dyDescent="0.25"/>
  <cols>
    <col min="1" max="1" width="38.5703125" bestFit="1" customWidth="1"/>
    <col min="2" max="2" width="32.140625" customWidth="1"/>
    <col min="3" max="3" width="20.140625" customWidth="1"/>
    <col min="4" max="5" width="23.28515625" customWidth="1"/>
    <col min="7" max="10" width="22.42578125" customWidth="1"/>
  </cols>
  <sheetData>
    <row r="2" spans="1:10" ht="32.25" customHeight="1" x14ac:dyDescent="0.25">
      <c r="A2" s="64" t="s">
        <v>65</v>
      </c>
      <c r="B2" s="64"/>
      <c r="D2" s="64" t="s">
        <v>65</v>
      </c>
      <c r="E2" s="64"/>
      <c r="G2" s="65" t="s">
        <v>58</v>
      </c>
      <c r="H2" s="65"/>
      <c r="I2" s="65"/>
      <c r="J2" s="65"/>
    </row>
    <row r="3" spans="1:10" ht="32.25" customHeight="1" x14ac:dyDescent="0.25">
      <c r="A3" s="61" t="s">
        <v>66</v>
      </c>
      <c r="B3" s="62" t="s">
        <v>67</v>
      </c>
      <c r="D3" s="61" t="s">
        <v>66</v>
      </c>
      <c r="E3" s="62" t="s">
        <v>67</v>
      </c>
      <c r="G3" s="85" t="s">
        <v>59</v>
      </c>
      <c r="H3" s="85" t="s">
        <v>60</v>
      </c>
      <c r="I3" s="85" t="s">
        <v>61</v>
      </c>
      <c r="J3" s="85" t="s">
        <v>62</v>
      </c>
    </row>
    <row r="4" spans="1:10" ht="30" customHeight="1" x14ac:dyDescent="0.25">
      <c r="A4" s="63" t="s">
        <v>68</v>
      </c>
      <c r="B4" s="57">
        <v>9000</v>
      </c>
      <c r="D4" s="44" t="s">
        <v>55</v>
      </c>
      <c r="E4" s="45">
        <v>4000</v>
      </c>
      <c r="G4" s="48" t="s">
        <v>64</v>
      </c>
      <c r="H4" s="48">
        <v>37</v>
      </c>
      <c r="I4" s="48">
        <v>2622</v>
      </c>
      <c r="J4" s="48">
        <v>44032</v>
      </c>
    </row>
    <row r="5" spans="1:10" ht="30" customHeight="1" x14ac:dyDescent="0.25">
      <c r="A5" s="52" t="s">
        <v>69</v>
      </c>
      <c r="B5" s="53">
        <v>6000</v>
      </c>
      <c r="D5" s="44" t="s">
        <v>56</v>
      </c>
      <c r="E5" s="45">
        <v>3100</v>
      </c>
      <c r="G5" s="48" t="s">
        <v>63</v>
      </c>
      <c r="H5" s="48">
        <v>13</v>
      </c>
      <c r="I5" s="48">
        <v>279</v>
      </c>
      <c r="J5" s="48">
        <v>4694</v>
      </c>
    </row>
    <row r="6" spans="1:10" ht="30" customHeight="1" x14ac:dyDescent="0.25">
      <c r="A6" s="52" t="s">
        <v>70</v>
      </c>
      <c r="B6" s="53">
        <v>5000</v>
      </c>
      <c r="D6" s="44" t="s">
        <v>57</v>
      </c>
      <c r="E6" s="45">
        <v>3100</v>
      </c>
      <c r="G6" s="48" t="s">
        <v>80</v>
      </c>
      <c r="H6" s="48">
        <f>SUM(H4:H5)</f>
        <v>50</v>
      </c>
      <c r="I6" s="48">
        <f t="shared" ref="I6:J6" si="0">SUM(I4:I5)</f>
        <v>2901</v>
      </c>
      <c r="J6" s="48">
        <f t="shared" si="0"/>
        <v>48726</v>
      </c>
    </row>
    <row r="7" spans="1:10" ht="30" customHeight="1" x14ac:dyDescent="0.25">
      <c r="A7" s="52" t="s">
        <v>71</v>
      </c>
      <c r="B7" s="53">
        <v>3200</v>
      </c>
      <c r="D7" s="60" t="s">
        <v>53</v>
      </c>
      <c r="E7" s="47">
        <f>SUM(E4:E6)</f>
        <v>10200</v>
      </c>
      <c r="G7" s="46"/>
      <c r="H7" s="46"/>
      <c r="I7" s="46"/>
      <c r="J7" s="46"/>
    </row>
    <row r="8" spans="1:10" ht="30" customHeight="1" x14ac:dyDescent="0.25">
      <c r="A8" s="52" t="s">
        <v>72</v>
      </c>
      <c r="B8" s="53">
        <v>6000</v>
      </c>
    </row>
    <row r="9" spans="1:10" ht="30" customHeight="1" x14ac:dyDescent="0.25">
      <c r="A9" s="52" t="s">
        <v>73</v>
      </c>
      <c r="B9" s="53">
        <v>8000</v>
      </c>
      <c r="F9" s="46"/>
    </row>
    <row r="10" spans="1:10" ht="30" customHeight="1" x14ac:dyDescent="0.25">
      <c r="A10" s="54" t="s">
        <v>74</v>
      </c>
      <c r="B10" s="53">
        <v>3400</v>
      </c>
    </row>
    <row r="11" spans="1:10" ht="30" customHeight="1" x14ac:dyDescent="0.25">
      <c r="A11" s="54" t="s">
        <v>75</v>
      </c>
      <c r="B11" s="53">
        <v>8000</v>
      </c>
    </row>
    <row r="12" spans="1:10" ht="30" customHeight="1" x14ac:dyDescent="0.25">
      <c r="A12" s="54" t="s">
        <v>76</v>
      </c>
      <c r="B12" s="53">
        <v>6000</v>
      </c>
    </row>
    <row r="13" spans="1:10" ht="30" customHeight="1" x14ac:dyDescent="0.25">
      <c r="A13" s="54" t="s">
        <v>77</v>
      </c>
      <c r="B13" s="53">
        <v>4500</v>
      </c>
    </row>
    <row r="14" spans="1:10" ht="30" customHeight="1" x14ac:dyDescent="0.25">
      <c r="A14" s="52" t="s">
        <v>70</v>
      </c>
      <c r="B14" s="53">
        <v>4500</v>
      </c>
    </row>
    <row r="15" spans="1:10" ht="30" customHeight="1" thickBot="1" x14ac:dyDescent="0.3">
      <c r="A15" s="55" t="s">
        <v>78</v>
      </c>
      <c r="B15" s="56">
        <v>4500</v>
      </c>
    </row>
    <row r="16" spans="1:10" ht="30" customHeight="1" thickBot="1" x14ac:dyDescent="0.3">
      <c r="A16" s="69" t="s">
        <v>79</v>
      </c>
      <c r="B16" s="70">
        <v>8000</v>
      </c>
    </row>
    <row r="17" spans="1:2" ht="30" customHeight="1" x14ac:dyDescent="0.25">
      <c r="A17" s="67" t="s">
        <v>53</v>
      </c>
      <c r="B17" s="68">
        <f>SUM(B4:B16)</f>
        <v>76100</v>
      </c>
    </row>
    <row r="18" spans="1:2" ht="30" customHeight="1" x14ac:dyDescent="0.25"/>
    <row r="19" spans="1:2" ht="30" customHeight="1" x14ac:dyDescent="0.25"/>
    <row r="20" spans="1:2" ht="30" customHeight="1" x14ac:dyDescent="0.25"/>
    <row r="21" spans="1:2" ht="30" customHeight="1" x14ac:dyDescent="0.25"/>
    <row r="22" spans="1:2" ht="30" customHeight="1" x14ac:dyDescent="0.25"/>
    <row r="23" spans="1:2" ht="30" customHeight="1" x14ac:dyDescent="0.25"/>
    <row r="24" spans="1:2" ht="30" customHeight="1" x14ac:dyDescent="0.25"/>
    <row r="25" spans="1:2" ht="30" customHeight="1" x14ac:dyDescent="0.25"/>
    <row r="26" spans="1:2" ht="30" customHeight="1" x14ac:dyDescent="0.25"/>
    <row r="27" spans="1:2" ht="30" customHeight="1" x14ac:dyDescent="0.25"/>
    <row r="28" spans="1:2" ht="30" customHeight="1" x14ac:dyDescent="0.25"/>
  </sheetData>
  <mergeCells count="3">
    <mergeCell ref="D2:E2"/>
    <mergeCell ref="G2:J2"/>
    <mergeCell ref="A2:B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4CA1-9FB7-4EF6-AF21-EDFB708C7775}">
  <sheetPr>
    <pageSetUpPr fitToPage="1"/>
  </sheetPr>
  <dimension ref="A1:AB14"/>
  <sheetViews>
    <sheetView zoomScaleNormal="100" workbookViewId="0">
      <pane ySplit="2" topLeftCell="A3" activePane="bottomLeft" state="frozen"/>
      <selection activeCell="D10" sqref="D10"/>
      <selection pane="bottomLeft" activeCell="C7" sqref="C7"/>
    </sheetView>
  </sheetViews>
  <sheetFormatPr baseColWidth="10" defaultColWidth="11.5703125" defaultRowHeight="15" x14ac:dyDescent="0.2"/>
  <cols>
    <col min="1" max="1" width="25.5703125" style="6" bestFit="1" customWidth="1"/>
    <col min="2" max="2" width="25.5703125" style="6" customWidth="1"/>
    <col min="3" max="3" width="27.7109375" style="6" customWidth="1"/>
    <col min="4" max="4" width="25.5703125" style="6" customWidth="1"/>
    <col min="5" max="14" width="13.140625" style="5" customWidth="1"/>
    <col min="15" max="15" width="13.140625" style="7" customWidth="1"/>
    <col min="16" max="23" width="13.140625" style="5" customWidth="1"/>
    <col min="24" max="24" width="13.140625" style="7" customWidth="1"/>
    <col min="25" max="28" width="13.140625" style="5" customWidth="1"/>
    <col min="29" max="16384" width="11.5703125" style="5"/>
  </cols>
  <sheetData>
    <row r="1" spans="1:28" ht="58.5" customHeight="1" thickBot="1" x14ac:dyDescent="0.25">
      <c r="A1" s="84" t="s">
        <v>82</v>
      </c>
      <c r="B1" s="84"/>
      <c r="I1" s="84" t="s">
        <v>81</v>
      </c>
      <c r="J1" s="84"/>
      <c r="K1" s="84"/>
      <c r="L1" s="84"/>
    </row>
    <row r="2" spans="1:28" s="1" customFormat="1" ht="30.75" customHeight="1" thickBot="1" x14ac:dyDescent="0.3">
      <c r="A2" s="74" t="s">
        <v>0</v>
      </c>
      <c r="B2" s="58" t="s">
        <v>67</v>
      </c>
      <c r="C2" s="71"/>
      <c r="D2" s="74" t="s">
        <v>0</v>
      </c>
      <c r="E2" s="79">
        <v>46083</v>
      </c>
      <c r="F2" s="79">
        <v>46084</v>
      </c>
      <c r="G2" s="79">
        <v>46085</v>
      </c>
      <c r="H2" s="79">
        <v>46086</v>
      </c>
      <c r="I2" s="79">
        <v>46087</v>
      </c>
      <c r="J2" s="79">
        <v>46088</v>
      </c>
      <c r="K2" s="79">
        <v>46090</v>
      </c>
      <c r="L2" s="79">
        <v>46091</v>
      </c>
      <c r="M2" s="79">
        <v>46092</v>
      </c>
      <c r="N2" s="79">
        <v>46093</v>
      </c>
      <c r="O2" s="79">
        <v>46094</v>
      </c>
      <c r="P2" s="79">
        <v>46095</v>
      </c>
      <c r="Q2" s="79">
        <v>46097</v>
      </c>
      <c r="R2" s="79">
        <v>46098</v>
      </c>
      <c r="S2" s="79">
        <v>46099</v>
      </c>
      <c r="T2" s="79">
        <v>46100</v>
      </c>
      <c r="U2" s="79">
        <v>46105</v>
      </c>
      <c r="V2" s="79">
        <v>46106</v>
      </c>
      <c r="W2" s="79">
        <v>46107</v>
      </c>
      <c r="X2" s="79">
        <v>46108</v>
      </c>
      <c r="Y2" s="79">
        <v>46109</v>
      </c>
      <c r="Z2" s="79">
        <v>46111</v>
      </c>
      <c r="AA2" s="79">
        <v>46112</v>
      </c>
      <c r="AB2" s="80" t="s">
        <v>1</v>
      </c>
    </row>
    <row r="3" spans="1:28" ht="33" customHeight="1" thickBot="1" x14ac:dyDescent="0.3">
      <c r="A3" s="75" t="s">
        <v>2</v>
      </c>
      <c r="B3" s="51">
        <v>3200</v>
      </c>
      <c r="C3" s="72"/>
      <c r="D3" s="75" t="s">
        <v>2</v>
      </c>
      <c r="E3" s="2">
        <v>0.41666666666666669</v>
      </c>
      <c r="F3" s="2"/>
      <c r="G3" s="2">
        <v>0.45833333333333331</v>
      </c>
      <c r="H3" s="2">
        <v>0.45833333333333331</v>
      </c>
      <c r="I3" s="2">
        <v>0.375</v>
      </c>
      <c r="J3" s="2">
        <v>0.375</v>
      </c>
      <c r="K3" s="2">
        <v>0.39583333333333331</v>
      </c>
      <c r="L3" s="2">
        <v>0.375</v>
      </c>
      <c r="M3" s="2">
        <v>0.39583333333333331</v>
      </c>
      <c r="N3" s="2">
        <v>0.375</v>
      </c>
      <c r="O3" s="2"/>
      <c r="P3" s="2">
        <v>0.375</v>
      </c>
      <c r="Q3" s="2">
        <v>0.375</v>
      </c>
      <c r="R3" s="2">
        <v>0.39583333333333331</v>
      </c>
      <c r="S3" s="3"/>
      <c r="T3" s="2"/>
      <c r="U3" s="2"/>
      <c r="V3" s="2"/>
      <c r="W3" s="2"/>
      <c r="X3" s="2"/>
      <c r="Y3" s="2"/>
      <c r="Z3" s="4"/>
      <c r="AA3" s="2"/>
      <c r="AB3" s="81">
        <f>SUM(E3:AA3)</f>
        <v>4.770833333333333</v>
      </c>
    </row>
    <row r="4" spans="1:28" ht="33" customHeight="1" thickBot="1" x14ac:dyDescent="0.25">
      <c r="A4" s="76" t="s">
        <v>3</v>
      </c>
      <c r="B4" s="51">
        <v>4000</v>
      </c>
      <c r="C4" s="72"/>
      <c r="D4" s="76" t="s">
        <v>3</v>
      </c>
      <c r="E4" s="2">
        <v>0.33333333333333331</v>
      </c>
      <c r="F4" s="2">
        <v>0.33333333333333331</v>
      </c>
      <c r="G4" s="2"/>
      <c r="H4" s="2">
        <v>0.33333333333333331</v>
      </c>
      <c r="I4" s="2">
        <v>0.33333333333333331</v>
      </c>
      <c r="J4" s="2">
        <v>0.25</v>
      </c>
      <c r="K4" s="2">
        <v>0.35416666666666669</v>
      </c>
      <c r="L4" s="2">
        <v>0.33333333333333331</v>
      </c>
      <c r="M4" s="2">
        <v>0.33333333333333331</v>
      </c>
      <c r="N4" s="2">
        <v>0.35416666666666669</v>
      </c>
      <c r="O4" s="2">
        <v>0.33333333333333331</v>
      </c>
      <c r="P4" s="2">
        <v>0.33333333333333331</v>
      </c>
      <c r="Q4" s="2">
        <v>0.25</v>
      </c>
      <c r="R4" s="2"/>
      <c r="S4" s="3"/>
      <c r="T4" s="2"/>
      <c r="U4" s="2"/>
      <c r="V4" s="2"/>
      <c r="W4" s="2"/>
      <c r="X4" s="2"/>
      <c r="Y4" s="2"/>
      <c r="Z4" s="2">
        <v>0.22916666666666666</v>
      </c>
      <c r="AA4" s="2"/>
      <c r="AB4" s="81">
        <f t="shared" ref="AB4:AB12" si="0">SUM(E4:AA4)</f>
        <v>4.104166666666667</v>
      </c>
    </row>
    <row r="5" spans="1:28" ht="33" customHeight="1" thickBot="1" x14ac:dyDescent="0.25">
      <c r="A5" s="76" t="s">
        <v>4</v>
      </c>
      <c r="B5" s="51">
        <v>4000</v>
      </c>
      <c r="C5" s="72"/>
      <c r="D5" s="76" t="s">
        <v>4</v>
      </c>
      <c r="E5" s="2">
        <v>0.33333333333333331</v>
      </c>
      <c r="F5" s="2">
        <v>0.29166666666666669</v>
      </c>
      <c r="G5" s="2">
        <v>0.33333333333333331</v>
      </c>
      <c r="H5" s="2">
        <v>0.33333333333333331</v>
      </c>
      <c r="I5" s="2">
        <v>0.33333333333333331</v>
      </c>
      <c r="J5" s="2"/>
      <c r="K5" s="2">
        <v>0.35416666666666669</v>
      </c>
      <c r="L5" s="2">
        <v>0.33333333333333331</v>
      </c>
      <c r="M5" s="2">
        <v>0.33333333333333331</v>
      </c>
      <c r="N5" s="2">
        <v>0.35416666666666669</v>
      </c>
      <c r="O5" s="2">
        <v>0.33333333333333331</v>
      </c>
      <c r="P5" s="2">
        <v>0.33333333333333331</v>
      </c>
      <c r="Q5" s="2">
        <v>0.35416666666666669</v>
      </c>
      <c r="R5" s="2"/>
      <c r="S5" s="3"/>
      <c r="T5" s="2"/>
      <c r="U5" s="2"/>
      <c r="V5" s="2"/>
      <c r="W5" s="2"/>
      <c r="X5" s="2"/>
      <c r="Y5" s="2"/>
      <c r="Z5" s="2">
        <v>0.22916666666666666</v>
      </c>
      <c r="AA5" s="2"/>
      <c r="AB5" s="81">
        <f t="shared" si="0"/>
        <v>4.2500000000000009</v>
      </c>
    </row>
    <row r="6" spans="1:28" ht="33" customHeight="1" thickBot="1" x14ac:dyDescent="0.25">
      <c r="A6" s="76" t="s">
        <v>5</v>
      </c>
      <c r="B6" s="51">
        <v>4000</v>
      </c>
      <c r="C6" s="72"/>
      <c r="D6" s="76" t="s">
        <v>5</v>
      </c>
      <c r="E6" s="2">
        <v>0.33333333333333331</v>
      </c>
      <c r="F6" s="2">
        <v>0.33333333333333331</v>
      </c>
      <c r="G6" s="2">
        <v>0.33333333333333331</v>
      </c>
      <c r="H6" s="2">
        <v>0.33333333333333331</v>
      </c>
      <c r="I6" s="2">
        <v>0.33333333333333331</v>
      </c>
      <c r="J6" s="2">
        <v>0.25</v>
      </c>
      <c r="K6" s="2">
        <v>0.35416666666666669</v>
      </c>
      <c r="L6" s="2">
        <v>0.33333333333333331</v>
      </c>
      <c r="M6" s="2">
        <v>0.33333333333333331</v>
      </c>
      <c r="N6" s="2">
        <v>0.35416666666666669</v>
      </c>
      <c r="O6" s="2">
        <v>0.33333333333333331</v>
      </c>
      <c r="P6" s="2">
        <v>0.33333333333333331</v>
      </c>
      <c r="Q6" s="2">
        <v>0.35416666666666669</v>
      </c>
      <c r="R6" s="2"/>
      <c r="S6" s="3"/>
      <c r="T6" s="2"/>
      <c r="U6" s="2"/>
      <c r="V6" s="2"/>
      <c r="W6" s="2"/>
      <c r="X6" s="2"/>
      <c r="Y6" s="2"/>
      <c r="Z6" s="2">
        <v>0.22916666666666666</v>
      </c>
      <c r="AA6" s="2"/>
      <c r="AB6" s="81">
        <f t="shared" si="0"/>
        <v>4.541666666666667</v>
      </c>
    </row>
    <row r="7" spans="1:28" ht="33" customHeight="1" thickBot="1" x14ac:dyDescent="0.25">
      <c r="A7" s="76" t="s">
        <v>6</v>
      </c>
      <c r="B7" s="51">
        <v>4000</v>
      </c>
      <c r="C7" s="72"/>
      <c r="D7" s="76" t="s">
        <v>6</v>
      </c>
      <c r="E7" s="2">
        <v>0.33333333333333331</v>
      </c>
      <c r="F7" s="2">
        <v>0.33333333333333331</v>
      </c>
      <c r="G7" s="2">
        <v>0.33333333333333331</v>
      </c>
      <c r="H7" s="2">
        <v>0.33333333333333331</v>
      </c>
      <c r="I7" s="2">
        <v>0.33333333333333331</v>
      </c>
      <c r="J7" s="2">
        <v>0.25</v>
      </c>
      <c r="K7" s="2">
        <v>0.35416666666666669</v>
      </c>
      <c r="L7" s="2">
        <v>0.33333333333333331</v>
      </c>
      <c r="M7" s="2">
        <v>0.33333333333333331</v>
      </c>
      <c r="N7" s="2">
        <v>0.35416666666666669</v>
      </c>
      <c r="O7" s="2">
        <v>0.33333333333333331</v>
      </c>
      <c r="P7" s="2">
        <v>0.33333333333333331</v>
      </c>
      <c r="Q7" s="2">
        <v>0.35416666666666669</v>
      </c>
      <c r="R7" s="2"/>
      <c r="S7" s="3"/>
      <c r="T7" s="2"/>
      <c r="U7" s="2"/>
      <c r="V7" s="2"/>
      <c r="W7" s="2"/>
      <c r="X7" s="2"/>
      <c r="Y7" s="2"/>
      <c r="Z7" s="2">
        <v>0.22916666666666666</v>
      </c>
      <c r="AA7" s="2"/>
      <c r="AB7" s="81">
        <f t="shared" si="0"/>
        <v>4.541666666666667</v>
      </c>
    </row>
    <row r="8" spans="1:28" ht="33" customHeight="1" thickBot="1" x14ac:dyDescent="0.25">
      <c r="A8" s="76" t="s">
        <v>7</v>
      </c>
      <c r="B8" s="51">
        <v>4500</v>
      </c>
      <c r="C8" s="72"/>
      <c r="D8" s="76" t="s">
        <v>7</v>
      </c>
      <c r="E8" s="2">
        <v>0.35416666666666669</v>
      </c>
      <c r="F8" s="2">
        <v>0.35416666666666669</v>
      </c>
      <c r="G8" s="2">
        <v>0.39583333333333331</v>
      </c>
      <c r="H8" s="2">
        <v>0.375</v>
      </c>
      <c r="I8" s="2">
        <v>0.375</v>
      </c>
      <c r="J8" s="2"/>
      <c r="K8" s="2">
        <v>0.35416666666666669</v>
      </c>
      <c r="L8" s="2">
        <v>0.35416666666666669</v>
      </c>
      <c r="M8" s="2">
        <v>0.33333333333333331</v>
      </c>
      <c r="N8" s="2">
        <v>0.20833333333333334</v>
      </c>
      <c r="O8" s="2">
        <v>0.375</v>
      </c>
      <c r="P8" s="2">
        <v>0.20833333333333334</v>
      </c>
      <c r="Q8" s="2">
        <v>0.35416666666666669</v>
      </c>
      <c r="R8" s="2">
        <v>0.33333333333333331</v>
      </c>
      <c r="S8" s="3"/>
      <c r="T8" s="2"/>
      <c r="U8" s="2"/>
      <c r="V8" s="2"/>
      <c r="W8" s="2"/>
      <c r="X8" s="2"/>
      <c r="Y8" s="2"/>
      <c r="Z8" s="2"/>
      <c r="AA8" s="2"/>
      <c r="AB8" s="81">
        <f t="shared" si="0"/>
        <v>4.375</v>
      </c>
    </row>
    <row r="9" spans="1:28" ht="33" customHeight="1" thickBot="1" x14ac:dyDescent="0.25">
      <c r="A9" s="76" t="s">
        <v>8</v>
      </c>
      <c r="B9" s="51">
        <v>4000</v>
      </c>
      <c r="C9" s="72"/>
      <c r="D9" s="76" t="s">
        <v>8</v>
      </c>
      <c r="E9" s="2">
        <v>0.33333333333333331</v>
      </c>
      <c r="F9" s="2">
        <v>0.33333333333333331</v>
      </c>
      <c r="G9" s="2">
        <v>0.33333333333333331</v>
      </c>
      <c r="H9" s="2">
        <v>0.33333333333333331</v>
      </c>
      <c r="I9" s="2">
        <v>0.33333333333333331</v>
      </c>
      <c r="J9" s="2">
        <v>0.25</v>
      </c>
      <c r="K9" s="2">
        <v>0.35416666666666669</v>
      </c>
      <c r="L9" s="2">
        <v>0.33333333333333331</v>
      </c>
      <c r="M9" s="2">
        <v>0.33333333333333331</v>
      </c>
      <c r="N9" s="2">
        <v>0.35416666666666669</v>
      </c>
      <c r="O9" s="2">
        <v>0.33333333333333331</v>
      </c>
      <c r="P9" s="2">
        <v>0.33333333333333331</v>
      </c>
      <c r="Q9" s="2">
        <v>0.3125</v>
      </c>
      <c r="R9" s="2"/>
      <c r="S9" s="3"/>
      <c r="T9" s="2"/>
      <c r="U9" s="2"/>
      <c r="V9" s="2"/>
      <c r="W9" s="2"/>
      <c r="X9" s="2"/>
      <c r="Y9" s="2"/>
      <c r="Z9" s="2">
        <v>0.22916666666666666</v>
      </c>
      <c r="AA9" s="2"/>
      <c r="AB9" s="81">
        <f t="shared" si="0"/>
        <v>4.5000000000000009</v>
      </c>
    </row>
    <row r="10" spans="1:28" ht="33" customHeight="1" thickBot="1" x14ac:dyDescent="0.25">
      <c r="A10" s="76" t="s">
        <v>9</v>
      </c>
      <c r="B10" s="51">
        <v>4000</v>
      </c>
      <c r="C10" s="72"/>
      <c r="D10" s="76" t="s">
        <v>9</v>
      </c>
      <c r="E10" s="2">
        <v>0.35416666666666669</v>
      </c>
      <c r="F10" s="2">
        <v>0.35416666666666669</v>
      </c>
      <c r="G10" s="2">
        <v>0.20833333333333334</v>
      </c>
      <c r="H10" s="2">
        <v>0.375</v>
      </c>
      <c r="I10" s="2">
        <v>0.375</v>
      </c>
      <c r="J10" s="2"/>
      <c r="K10" s="2">
        <v>0.35416666666666669</v>
      </c>
      <c r="L10" s="2">
        <v>0.35416666666666669</v>
      </c>
      <c r="M10" s="2">
        <v>0.33333333333333331</v>
      </c>
      <c r="N10" s="2">
        <v>0.35416666666666669</v>
      </c>
      <c r="O10" s="2">
        <v>0.375</v>
      </c>
      <c r="P10" s="2">
        <v>0.33333333333333331</v>
      </c>
      <c r="Q10" s="2">
        <v>0.35416666666666669</v>
      </c>
      <c r="R10" s="2">
        <v>0.33333333333333331</v>
      </c>
      <c r="S10" s="3"/>
      <c r="T10" s="2"/>
      <c r="U10" s="2"/>
      <c r="V10" s="2"/>
      <c r="W10" s="2"/>
      <c r="X10" s="2"/>
      <c r="Y10" s="2"/>
      <c r="Z10" s="2"/>
      <c r="AA10" s="2"/>
      <c r="AB10" s="81">
        <f t="shared" si="0"/>
        <v>4.458333333333333</v>
      </c>
    </row>
    <row r="11" spans="1:28" ht="33" customHeight="1" thickBot="1" x14ac:dyDescent="0.25">
      <c r="A11" s="75" t="s">
        <v>10</v>
      </c>
      <c r="B11" s="51">
        <v>4000</v>
      </c>
      <c r="C11" s="72"/>
      <c r="D11" s="75" t="s">
        <v>10</v>
      </c>
      <c r="E11" s="2">
        <v>0.33333333333333331</v>
      </c>
      <c r="F11" s="2">
        <v>0.33333333333333331</v>
      </c>
      <c r="G11" s="2">
        <v>0.33333333333333331</v>
      </c>
      <c r="H11" s="2"/>
      <c r="I11" s="2">
        <v>0.33333333333333331</v>
      </c>
      <c r="J11" s="2">
        <v>0.25</v>
      </c>
      <c r="K11" s="2">
        <v>0.35416666666666669</v>
      </c>
      <c r="L11" s="2">
        <v>0.33333333333333331</v>
      </c>
      <c r="M11" s="2">
        <v>0.33333333333333331</v>
      </c>
      <c r="N11" s="2">
        <v>0.35416666666666669</v>
      </c>
      <c r="O11" s="2">
        <v>0.29166666666666669</v>
      </c>
      <c r="P11" s="2">
        <v>0.33333333333333331</v>
      </c>
      <c r="Q11" s="2">
        <v>0.35416666666666669</v>
      </c>
      <c r="R11" s="2"/>
      <c r="S11" s="3"/>
      <c r="T11" s="2"/>
      <c r="U11" s="2"/>
      <c r="V11" s="2"/>
      <c r="W11" s="2"/>
      <c r="X11" s="2"/>
      <c r="Y11" s="2"/>
      <c r="Z11" s="2"/>
      <c r="AA11" s="2"/>
      <c r="AB11" s="81">
        <f t="shared" si="0"/>
        <v>3.9375</v>
      </c>
    </row>
    <row r="12" spans="1:28" ht="33" customHeight="1" x14ac:dyDescent="0.2">
      <c r="A12" s="75" t="s">
        <v>11</v>
      </c>
      <c r="B12" s="51">
        <v>4300</v>
      </c>
      <c r="C12" s="72"/>
      <c r="D12" s="75" t="s">
        <v>11</v>
      </c>
      <c r="E12" s="2">
        <v>0.33333333333333331</v>
      </c>
      <c r="F12" s="2">
        <v>0.33333333333333331</v>
      </c>
      <c r="G12" s="2">
        <v>0.33333333333333331</v>
      </c>
      <c r="H12" s="2">
        <v>0.33333333333333331</v>
      </c>
      <c r="I12" s="2">
        <v>0.33333333333333331</v>
      </c>
      <c r="J12" s="2">
        <v>0.25</v>
      </c>
      <c r="K12" s="2">
        <v>0.35416666666666669</v>
      </c>
      <c r="L12" s="2">
        <v>0.35416666666666669</v>
      </c>
      <c r="M12" s="2">
        <v>0.33333333333333331</v>
      </c>
      <c r="N12" s="2">
        <v>0.35416666666666669</v>
      </c>
      <c r="O12" s="2">
        <v>0.35416666666666669</v>
      </c>
      <c r="P12" s="2">
        <v>0.33333333333333331</v>
      </c>
      <c r="Q12" s="2">
        <v>0.35416666666666669</v>
      </c>
      <c r="R12" s="2"/>
      <c r="S12" s="3"/>
      <c r="T12" s="2"/>
      <c r="U12" s="2"/>
      <c r="V12" s="2"/>
      <c r="W12" s="2"/>
      <c r="X12" s="2"/>
      <c r="Y12" s="2"/>
      <c r="Z12" s="2">
        <v>0.22916666666666666</v>
      </c>
      <c r="AA12" s="2"/>
      <c r="AB12" s="81">
        <f t="shared" si="0"/>
        <v>4.583333333333333</v>
      </c>
    </row>
    <row r="13" spans="1:28" s="59" customFormat="1" ht="33" customHeight="1" thickBot="1" x14ac:dyDescent="0.3">
      <c r="A13" s="77" t="s">
        <v>53</v>
      </c>
      <c r="B13" s="78">
        <f>SUM(B3:B12)</f>
        <v>40000</v>
      </c>
      <c r="C13" s="73"/>
      <c r="D13" s="77" t="s">
        <v>53</v>
      </c>
      <c r="E13" s="82">
        <f>SUM(E3:E12)</f>
        <v>3.4583333333333335</v>
      </c>
      <c r="F13" s="82">
        <f t="shared" ref="F13:AA13" si="1">SUM(F3:F12)</f>
        <v>3</v>
      </c>
      <c r="G13" s="82">
        <f t="shared" si="1"/>
        <v>3.0625000000000004</v>
      </c>
      <c r="H13" s="82">
        <f t="shared" si="1"/>
        <v>3.2083333333333335</v>
      </c>
      <c r="I13" s="82">
        <f t="shared" si="1"/>
        <v>3.4583333333333335</v>
      </c>
      <c r="J13" s="82">
        <f t="shared" si="1"/>
        <v>1.875</v>
      </c>
      <c r="K13" s="82">
        <f t="shared" si="1"/>
        <v>3.583333333333333</v>
      </c>
      <c r="L13" s="82">
        <f t="shared" si="1"/>
        <v>3.4374999999999996</v>
      </c>
      <c r="M13" s="82">
        <f t="shared" si="1"/>
        <v>3.3958333333333339</v>
      </c>
      <c r="N13" s="82">
        <f t="shared" si="1"/>
        <v>3.4166666666666665</v>
      </c>
      <c r="O13" s="82">
        <f t="shared" si="1"/>
        <v>3.0624999999999996</v>
      </c>
      <c r="P13" s="82">
        <f t="shared" si="1"/>
        <v>3.25</v>
      </c>
      <c r="Q13" s="82">
        <f t="shared" si="1"/>
        <v>3.4166666666666665</v>
      </c>
      <c r="R13" s="82">
        <f t="shared" si="1"/>
        <v>1.0625</v>
      </c>
      <c r="S13" s="82">
        <f t="shared" si="1"/>
        <v>0</v>
      </c>
      <c r="T13" s="82">
        <f t="shared" si="1"/>
        <v>0</v>
      </c>
      <c r="U13" s="82">
        <f t="shared" si="1"/>
        <v>0</v>
      </c>
      <c r="V13" s="82">
        <f t="shared" si="1"/>
        <v>0</v>
      </c>
      <c r="W13" s="82">
        <f t="shared" si="1"/>
        <v>0</v>
      </c>
      <c r="X13" s="82">
        <f t="shared" si="1"/>
        <v>0</v>
      </c>
      <c r="Y13" s="82">
        <f t="shared" si="1"/>
        <v>0</v>
      </c>
      <c r="Z13" s="82">
        <f t="shared" si="1"/>
        <v>1.375</v>
      </c>
      <c r="AA13" s="82">
        <f t="shared" si="1"/>
        <v>0</v>
      </c>
      <c r="AB13" s="83">
        <f>SUM(E13:AA13)</f>
        <v>44.062499999999993</v>
      </c>
    </row>
    <row r="14" spans="1:28" ht="20.100000000000001" customHeight="1" x14ac:dyDescent="0.2"/>
  </sheetData>
  <mergeCells count="2">
    <mergeCell ref="I1:L1"/>
    <mergeCell ref="A1:B1"/>
  </mergeCells>
  <pageMargins left="0.7" right="0.7" top="0.75" bottom="0.75" header="0.3" footer="0.3"/>
  <pageSetup paperSize="9" scale="5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4F822-03A7-4A63-8F79-2C695138397C}">
  <dimension ref="A1:P40"/>
  <sheetViews>
    <sheetView tabSelected="1" workbookViewId="0">
      <selection activeCell="F27" sqref="F27"/>
    </sheetView>
  </sheetViews>
  <sheetFormatPr baseColWidth="10" defaultRowHeight="15.75" x14ac:dyDescent="0.25"/>
  <cols>
    <col min="1" max="1" width="36.28515625" style="39" customWidth="1"/>
    <col min="2" max="12" width="11.28515625" style="40" customWidth="1"/>
    <col min="13" max="13" width="11.28515625" style="41" customWidth="1"/>
    <col min="14" max="15" width="11.28515625" style="40" customWidth="1"/>
    <col min="16" max="16" width="11.28515625" style="31" customWidth="1"/>
    <col min="17" max="16384" width="11.42578125" style="31"/>
  </cols>
  <sheetData>
    <row r="1" spans="1:16" ht="26.25" customHeight="1" x14ac:dyDescent="0.25">
      <c r="A1" s="28" t="s">
        <v>0</v>
      </c>
      <c r="B1" s="29">
        <v>46083</v>
      </c>
      <c r="C1" s="29">
        <v>46084</v>
      </c>
      <c r="D1" s="29">
        <v>46085</v>
      </c>
      <c r="E1" s="29">
        <v>46086</v>
      </c>
      <c r="F1" s="29">
        <v>46087</v>
      </c>
      <c r="G1" s="29">
        <v>46088</v>
      </c>
      <c r="H1" s="29">
        <v>46089</v>
      </c>
      <c r="I1" s="29">
        <v>46090</v>
      </c>
      <c r="J1" s="29">
        <v>46091</v>
      </c>
      <c r="K1" s="29">
        <v>46092</v>
      </c>
      <c r="L1" s="29">
        <v>46093</v>
      </c>
      <c r="M1" s="29">
        <v>46094</v>
      </c>
      <c r="N1" s="29">
        <v>46095</v>
      </c>
      <c r="O1" s="29">
        <v>46096</v>
      </c>
      <c r="P1" s="30" t="s">
        <v>48</v>
      </c>
    </row>
    <row r="2" spans="1:16" ht="21" customHeight="1" x14ac:dyDescent="0.25">
      <c r="A2" s="32" t="s">
        <v>14</v>
      </c>
      <c r="B2" s="4">
        <v>0.35416666666666669</v>
      </c>
      <c r="C2" s="4">
        <v>0.35416666666666669</v>
      </c>
      <c r="D2" s="4">
        <v>0.375</v>
      </c>
      <c r="E2" s="4">
        <v>0.375</v>
      </c>
      <c r="F2" s="4">
        <v>0.375</v>
      </c>
      <c r="G2" s="4">
        <v>0.27083333333333331</v>
      </c>
      <c r="H2" s="4"/>
      <c r="I2" s="4">
        <v>0.33333333333333331</v>
      </c>
      <c r="J2" s="4">
        <v>0.35416666666666669</v>
      </c>
      <c r="K2" s="4">
        <v>0.33333333333333331</v>
      </c>
      <c r="L2" s="4">
        <v>0.33333333333333331</v>
      </c>
      <c r="M2" s="4"/>
      <c r="N2" s="4"/>
      <c r="O2" s="4"/>
      <c r="P2" s="33">
        <f t="shared" ref="P2:P30" si="0">SUM(B2:O2)</f>
        <v>3.4583333333333339</v>
      </c>
    </row>
    <row r="3" spans="1:16" ht="21" customHeight="1" x14ac:dyDescent="0.25">
      <c r="A3" s="34" t="s">
        <v>15</v>
      </c>
      <c r="B3" s="4">
        <v>0.33333333333333331</v>
      </c>
      <c r="C3" s="4">
        <v>0.33333333333333331</v>
      </c>
      <c r="D3" s="4">
        <v>0.33333333333333331</v>
      </c>
      <c r="E3" s="4">
        <v>0.33333333333333331</v>
      </c>
      <c r="F3" s="4">
        <v>0.33333333333333331</v>
      </c>
      <c r="G3" s="4">
        <v>0.25</v>
      </c>
      <c r="H3" s="4"/>
      <c r="I3" s="4">
        <v>0.33333333333333331</v>
      </c>
      <c r="J3" s="4">
        <v>0.33333333333333331</v>
      </c>
      <c r="K3" s="4">
        <v>0.33333333333333331</v>
      </c>
      <c r="L3" s="4">
        <v>0.35416666666666669</v>
      </c>
      <c r="M3" s="4"/>
      <c r="N3" s="4"/>
      <c r="O3" s="4"/>
      <c r="P3" s="33">
        <f t="shared" si="0"/>
        <v>3.2708333333333335</v>
      </c>
    </row>
    <row r="4" spans="1:16" ht="21" customHeight="1" x14ac:dyDescent="0.25">
      <c r="A4" s="34" t="s">
        <v>16</v>
      </c>
      <c r="B4" s="4">
        <v>0.35416666666666669</v>
      </c>
      <c r="C4" s="4">
        <v>0.35416666666666669</v>
      </c>
      <c r="D4" s="4">
        <v>0.375</v>
      </c>
      <c r="E4" s="4">
        <v>0.25</v>
      </c>
      <c r="F4" s="4">
        <v>0.375</v>
      </c>
      <c r="G4" s="4">
        <v>0.27083333333333331</v>
      </c>
      <c r="H4" s="4"/>
      <c r="I4" s="4">
        <v>0.33333333333333331</v>
      </c>
      <c r="J4" s="4">
        <v>0.35416666666666669</v>
      </c>
      <c r="K4" s="4">
        <v>0.33333333333333331</v>
      </c>
      <c r="L4" s="4">
        <v>0.33333333333333331</v>
      </c>
      <c r="M4" s="4"/>
      <c r="N4" s="4"/>
      <c r="O4" s="4"/>
      <c r="P4" s="33">
        <f t="shared" si="0"/>
        <v>3.3333333333333335</v>
      </c>
    </row>
    <row r="5" spans="1:16" ht="21" customHeight="1" x14ac:dyDescent="0.25">
      <c r="A5" s="34" t="s">
        <v>17</v>
      </c>
      <c r="B5" s="4">
        <v>0.35416666666666669</v>
      </c>
      <c r="C5" s="4">
        <v>0.35416666666666669</v>
      </c>
      <c r="D5" s="4">
        <v>0.375</v>
      </c>
      <c r="E5" s="4">
        <v>0.375</v>
      </c>
      <c r="F5" s="4">
        <v>0.375</v>
      </c>
      <c r="G5" s="4">
        <v>0.27083333333333331</v>
      </c>
      <c r="H5" s="4"/>
      <c r="I5" s="4">
        <v>0.33333333333333331</v>
      </c>
      <c r="J5" s="4">
        <v>0.35416666666666669</v>
      </c>
      <c r="K5" s="4">
        <v>0.33333333333333331</v>
      </c>
      <c r="L5" s="4">
        <v>0.35416666666666669</v>
      </c>
      <c r="M5" s="4"/>
      <c r="N5" s="4"/>
      <c r="O5" s="4"/>
      <c r="P5" s="33">
        <f t="shared" si="0"/>
        <v>3.479166666666667</v>
      </c>
    </row>
    <row r="6" spans="1:16" ht="21" customHeight="1" x14ac:dyDescent="0.25">
      <c r="A6" s="35" t="s">
        <v>49</v>
      </c>
      <c r="B6" s="4">
        <v>0.375</v>
      </c>
      <c r="C6" s="4"/>
      <c r="D6" s="4">
        <v>0.375</v>
      </c>
      <c r="E6" s="4"/>
      <c r="F6" s="4"/>
      <c r="G6" s="4">
        <v>0.29166666666666669</v>
      </c>
      <c r="H6" s="4"/>
      <c r="I6" s="4">
        <v>0.29166666666666669</v>
      </c>
      <c r="J6" s="4">
        <v>0.33333333333333331</v>
      </c>
      <c r="K6" s="4">
        <v>0.29166666666666669</v>
      </c>
      <c r="L6" s="4">
        <v>0.3125</v>
      </c>
      <c r="M6" s="4"/>
      <c r="N6" s="4">
        <v>0.375</v>
      </c>
      <c r="O6" s="4"/>
      <c r="P6" s="33">
        <f>SUM(B6:O6)</f>
        <v>2.6458333333333335</v>
      </c>
    </row>
    <row r="7" spans="1:16" ht="21" customHeight="1" x14ac:dyDescent="0.25">
      <c r="A7" s="35" t="s">
        <v>19</v>
      </c>
      <c r="B7" s="4">
        <v>0.25</v>
      </c>
      <c r="C7" s="4">
        <v>0.33333333333333331</v>
      </c>
      <c r="D7" s="4">
        <v>0.22916666666666666</v>
      </c>
      <c r="E7" s="4">
        <v>0.33333333333333331</v>
      </c>
      <c r="F7" s="4">
        <v>0.33333333333333331</v>
      </c>
      <c r="G7" s="4">
        <v>0.25</v>
      </c>
      <c r="H7" s="4"/>
      <c r="I7" s="4">
        <v>0.33333333333333331</v>
      </c>
      <c r="J7" s="4">
        <v>0.33333333333333331</v>
      </c>
      <c r="K7" s="4">
        <v>0.33333333333333331</v>
      </c>
      <c r="L7" s="4">
        <v>0.35416666666666669</v>
      </c>
      <c r="M7" s="4"/>
      <c r="N7" s="4"/>
      <c r="O7" s="4"/>
      <c r="P7" s="33">
        <f t="shared" si="0"/>
        <v>3.0833333333333335</v>
      </c>
    </row>
    <row r="8" spans="1:16" ht="21" customHeight="1" x14ac:dyDescent="0.25">
      <c r="A8" s="36" t="s">
        <v>20</v>
      </c>
      <c r="B8" s="4">
        <v>0.25</v>
      </c>
      <c r="C8" s="4">
        <v>0.33333333333333331</v>
      </c>
      <c r="D8" s="4">
        <v>0.22916666666666666</v>
      </c>
      <c r="E8" s="4">
        <v>0.33333333333333331</v>
      </c>
      <c r="F8" s="4">
        <v>0.33333333333333331</v>
      </c>
      <c r="G8" s="4">
        <v>0.25</v>
      </c>
      <c r="H8" s="4"/>
      <c r="I8" s="4">
        <v>0.33333333333333331</v>
      </c>
      <c r="J8" s="4">
        <v>0.33333333333333331</v>
      </c>
      <c r="K8" s="4">
        <v>0.33333333333333331</v>
      </c>
      <c r="L8" s="4">
        <v>0.35416666666666669</v>
      </c>
      <c r="M8" s="4"/>
      <c r="N8" s="4"/>
      <c r="O8" s="4"/>
      <c r="P8" s="33">
        <f t="shared" si="0"/>
        <v>3.0833333333333335</v>
      </c>
    </row>
    <row r="9" spans="1:16" ht="21" customHeight="1" x14ac:dyDescent="0.25">
      <c r="A9" s="35" t="s">
        <v>21</v>
      </c>
      <c r="B9" s="4">
        <v>0.33333333333333331</v>
      </c>
      <c r="C9" s="4">
        <v>0.33333333333333331</v>
      </c>
      <c r="D9" s="4">
        <v>0.33333333333333331</v>
      </c>
      <c r="E9" s="4">
        <v>0.33333333333333331</v>
      </c>
      <c r="F9" s="4">
        <v>0.33333333333333331</v>
      </c>
      <c r="G9" s="4">
        <v>0.25</v>
      </c>
      <c r="H9" s="4"/>
      <c r="I9" s="4">
        <v>0.33333333333333331</v>
      </c>
      <c r="J9" s="4"/>
      <c r="K9" s="4">
        <v>0.33333333333333331</v>
      </c>
      <c r="L9" s="4">
        <v>0.33333333333333331</v>
      </c>
      <c r="M9" s="4"/>
      <c r="N9" s="4"/>
      <c r="O9" s="4"/>
      <c r="P9" s="33">
        <f t="shared" si="0"/>
        <v>2.916666666666667</v>
      </c>
    </row>
    <row r="10" spans="1:16" ht="21" customHeight="1" x14ac:dyDescent="0.25">
      <c r="A10" s="35" t="s">
        <v>22</v>
      </c>
      <c r="B10" s="11"/>
      <c r="C10" s="11"/>
      <c r="D10" s="4"/>
      <c r="E10" s="4"/>
      <c r="F10" s="4"/>
      <c r="G10" s="4"/>
      <c r="H10" s="4"/>
      <c r="I10" s="4">
        <v>0.29166666666666669</v>
      </c>
      <c r="J10" s="4">
        <v>0.33333333333333331</v>
      </c>
      <c r="K10" s="4">
        <v>0.33333333333333331</v>
      </c>
      <c r="L10" s="4">
        <v>0.33333333333333331</v>
      </c>
      <c r="M10" s="4"/>
      <c r="N10" s="4"/>
      <c r="O10" s="4"/>
      <c r="P10" s="33">
        <f t="shared" si="0"/>
        <v>1.2916666666666665</v>
      </c>
    </row>
    <row r="11" spans="1:16" ht="21" customHeight="1" x14ac:dyDescent="0.25">
      <c r="A11" s="35" t="s">
        <v>23</v>
      </c>
      <c r="B11" s="4">
        <v>0.35416666666666669</v>
      </c>
      <c r="C11" s="4">
        <v>0.35416666666666669</v>
      </c>
      <c r="D11" s="4">
        <v>0.375</v>
      </c>
      <c r="E11" s="4">
        <v>0.375</v>
      </c>
      <c r="F11" s="4">
        <v>0.375</v>
      </c>
      <c r="G11" s="4">
        <v>0.27083333333333331</v>
      </c>
      <c r="H11" s="4"/>
      <c r="I11" s="4">
        <v>0.33333333333333331</v>
      </c>
      <c r="J11" s="4">
        <v>0.35416666666666669</v>
      </c>
      <c r="K11" s="4">
        <v>0.33333333333333331</v>
      </c>
      <c r="L11" s="4">
        <v>0.35416666666666669</v>
      </c>
      <c r="M11" s="4"/>
      <c r="N11" s="4"/>
      <c r="O11" s="4"/>
      <c r="P11" s="33">
        <f t="shared" si="0"/>
        <v>3.479166666666667</v>
      </c>
    </row>
    <row r="12" spans="1:16" ht="21" customHeight="1" x14ac:dyDescent="0.25">
      <c r="A12" s="37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  <c r="N12" s="12"/>
      <c r="O12" s="12"/>
      <c r="P12" s="12"/>
    </row>
    <row r="13" spans="1:16" ht="21" customHeight="1" x14ac:dyDescent="0.25">
      <c r="A13" s="35" t="s">
        <v>24</v>
      </c>
      <c r="B13" s="4">
        <v>0.25</v>
      </c>
      <c r="C13" s="4">
        <v>0.20833333333333334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33">
        <f t="shared" si="0"/>
        <v>0.45833333333333337</v>
      </c>
    </row>
    <row r="14" spans="1:16" ht="21" customHeight="1" x14ac:dyDescent="0.25">
      <c r="A14" s="35" t="s">
        <v>25</v>
      </c>
      <c r="B14" s="4">
        <v>0.33333333333333331</v>
      </c>
      <c r="C14" s="4">
        <v>0.375</v>
      </c>
      <c r="D14" s="4">
        <v>0.39583333333333331</v>
      </c>
      <c r="E14" s="4">
        <v>0.33333333333333331</v>
      </c>
      <c r="F14" s="4">
        <v>0.35416666666666669</v>
      </c>
      <c r="G14" s="4">
        <v>0.25</v>
      </c>
      <c r="H14" s="4"/>
      <c r="I14" s="4">
        <v>0.5625</v>
      </c>
      <c r="J14" s="4">
        <v>0.52083333333333337</v>
      </c>
      <c r="K14" s="4">
        <v>0.41666666666666669</v>
      </c>
      <c r="L14" s="4">
        <v>0.33333333333333331</v>
      </c>
      <c r="M14" s="4">
        <v>0.375</v>
      </c>
      <c r="N14" s="4">
        <v>0.33333333333333331</v>
      </c>
      <c r="O14" s="4">
        <v>0.16666666666666666</v>
      </c>
      <c r="P14" s="33">
        <f t="shared" si="0"/>
        <v>4.75</v>
      </c>
    </row>
    <row r="15" spans="1:16" ht="21" customHeight="1" x14ac:dyDescent="0.25">
      <c r="A15" s="35" t="s">
        <v>26</v>
      </c>
      <c r="B15" s="4"/>
      <c r="C15" s="4">
        <v>0.33333333333333331</v>
      </c>
      <c r="D15" s="4">
        <v>0.3125</v>
      </c>
      <c r="E15" s="4"/>
      <c r="F15" s="4">
        <v>0.375</v>
      </c>
      <c r="G15" s="4">
        <v>0.27083333333333331</v>
      </c>
      <c r="H15" s="4"/>
      <c r="I15" s="4"/>
      <c r="J15" s="4">
        <v>0.35416666666666669</v>
      </c>
      <c r="K15" s="4">
        <v>0.29166666666666669</v>
      </c>
      <c r="L15" s="4">
        <v>0.29166666666666669</v>
      </c>
      <c r="M15" s="4"/>
      <c r="N15" s="4"/>
      <c r="O15" s="4"/>
      <c r="P15" s="33">
        <f t="shared" si="0"/>
        <v>2.2291666666666665</v>
      </c>
    </row>
    <row r="16" spans="1:16" ht="21" customHeight="1" x14ac:dyDescent="0.25">
      <c r="A16" s="35" t="s">
        <v>31</v>
      </c>
      <c r="B16" s="4">
        <v>0.39583333333333331</v>
      </c>
      <c r="C16" s="4">
        <v>0.47916666666666669</v>
      </c>
      <c r="D16" s="4">
        <v>0.35416666666666669</v>
      </c>
      <c r="E16" s="4">
        <v>0.375</v>
      </c>
      <c r="F16" s="4">
        <v>0.54166666666666663</v>
      </c>
      <c r="G16" s="4">
        <v>0.375</v>
      </c>
      <c r="H16" s="4">
        <v>0.20833333333333334</v>
      </c>
      <c r="I16" s="4">
        <v>0.5</v>
      </c>
      <c r="J16" s="4">
        <v>0.52083333333333337</v>
      </c>
      <c r="K16" s="4">
        <v>0.33333333333333331</v>
      </c>
      <c r="L16" s="4"/>
      <c r="M16" s="4"/>
      <c r="N16" s="4"/>
      <c r="O16" s="4">
        <v>0.16666666666666666</v>
      </c>
      <c r="P16" s="33">
        <f t="shared" si="0"/>
        <v>4.2500000000000009</v>
      </c>
    </row>
    <row r="17" spans="1:16" ht="21" customHeight="1" x14ac:dyDescent="0.25">
      <c r="A17" s="35" t="s">
        <v>28</v>
      </c>
      <c r="B17" s="4">
        <v>0.25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33">
        <f t="shared" si="0"/>
        <v>0.25</v>
      </c>
    </row>
    <row r="18" spans="1:16" ht="21" customHeight="1" x14ac:dyDescent="0.25">
      <c r="A18" s="35" t="s">
        <v>29</v>
      </c>
      <c r="B18" s="4">
        <v>0.25</v>
      </c>
      <c r="C18" s="4">
        <v>0.33333333333333331</v>
      </c>
      <c r="D18" s="4">
        <v>0.375</v>
      </c>
      <c r="E18" s="4">
        <v>0.375</v>
      </c>
      <c r="F18" s="4">
        <v>0.375</v>
      </c>
      <c r="G18" s="4">
        <v>0.27083333333333331</v>
      </c>
      <c r="H18" s="4"/>
      <c r="I18" s="4">
        <v>0.3125</v>
      </c>
      <c r="J18" s="4">
        <v>0.35416666666666669</v>
      </c>
      <c r="K18" s="4">
        <v>0.33333333333333331</v>
      </c>
      <c r="L18" s="4">
        <v>0.35416666666666669</v>
      </c>
      <c r="M18" s="4"/>
      <c r="N18" s="4"/>
      <c r="O18" s="4"/>
      <c r="P18" s="33">
        <f t="shared" si="0"/>
        <v>3.333333333333333</v>
      </c>
    </row>
    <row r="19" spans="1:16" ht="21" customHeight="1" x14ac:dyDescent="0.25">
      <c r="A19" s="35" t="s">
        <v>32</v>
      </c>
      <c r="B19" s="4">
        <v>0.4375</v>
      </c>
      <c r="C19" s="4">
        <v>0.52083333333333337</v>
      </c>
      <c r="D19" s="4">
        <v>0.39583333333333331</v>
      </c>
      <c r="E19" s="4">
        <v>0.375</v>
      </c>
      <c r="F19" s="4">
        <v>0.54166666666666663</v>
      </c>
      <c r="G19" s="4">
        <v>0.375</v>
      </c>
      <c r="H19" s="4">
        <v>0.20833333333333334</v>
      </c>
      <c r="I19" s="4">
        <v>0.54166666666666663</v>
      </c>
      <c r="J19" s="4">
        <v>0.52083333333333337</v>
      </c>
      <c r="K19" s="4">
        <v>0.625</v>
      </c>
      <c r="L19" s="4">
        <v>0.47916666666666669</v>
      </c>
      <c r="M19" s="4">
        <v>0.47916666666666669</v>
      </c>
      <c r="N19" s="4"/>
      <c r="O19" s="4">
        <v>0.16666666666666666</v>
      </c>
      <c r="P19" s="33">
        <f t="shared" si="0"/>
        <v>5.6666666666666679</v>
      </c>
    </row>
    <row r="20" spans="1:16" ht="21" customHeight="1" x14ac:dyDescent="0.25">
      <c r="A20" s="35" t="s">
        <v>33</v>
      </c>
      <c r="B20" s="4">
        <v>0.375</v>
      </c>
      <c r="C20" s="4">
        <v>0.375</v>
      </c>
      <c r="D20" s="4">
        <v>0.29166666666666669</v>
      </c>
      <c r="E20" s="4"/>
      <c r="F20" s="4">
        <v>0.35416666666666669</v>
      </c>
      <c r="G20" s="4">
        <v>0.25</v>
      </c>
      <c r="H20" s="4"/>
      <c r="I20" s="4">
        <v>0.35416666666666669</v>
      </c>
      <c r="J20" s="4">
        <v>0.375</v>
      </c>
      <c r="K20" s="4">
        <v>0.3125</v>
      </c>
      <c r="L20" s="4">
        <v>0.33333333333333331</v>
      </c>
      <c r="M20" s="4">
        <v>0.39583333333333331</v>
      </c>
      <c r="N20" s="4">
        <v>0.33333333333333331</v>
      </c>
      <c r="O20" s="4"/>
      <c r="P20" s="33">
        <f t="shared" si="0"/>
        <v>3.7500000000000004</v>
      </c>
    </row>
    <row r="21" spans="1:16" ht="21" customHeight="1" x14ac:dyDescent="0.25">
      <c r="A21" s="35" t="s">
        <v>34</v>
      </c>
      <c r="B21" s="11"/>
      <c r="C21" s="4">
        <v>0.35416666666666669</v>
      </c>
      <c r="D21" s="4">
        <v>0.375</v>
      </c>
      <c r="E21" s="4">
        <v>0.375</v>
      </c>
      <c r="F21" s="4">
        <v>0.375</v>
      </c>
      <c r="G21" s="4">
        <v>0.27083333333333331</v>
      </c>
      <c r="H21" s="4"/>
      <c r="I21" s="4"/>
      <c r="J21" s="4">
        <v>0.35416666666666669</v>
      </c>
      <c r="K21" s="4">
        <v>0.33333333333333331</v>
      </c>
      <c r="L21" s="4">
        <v>0.35416666666666669</v>
      </c>
      <c r="M21" s="4"/>
      <c r="N21" s="4">
        <v>0.33333333333333331</v>
      </c>
      <c r="O21" s="4"/>
      <c r="P21" s="33">
        <f t="shared" si="0"/>
        <v>3.125</v>
      </c>
    </row>
    <row r="22" spans="1:16" ht="21" customHeight="1" x14ac:dyDescent="0.25">
      <c r="A22" s="35" t="s">
        <v>35</v>
      </c>
      <c r="B22" s="4">
        <v>0.25</v>
      </c>
      <c r="C22" s="4">
        <v>0.35416666666666669</v>
      </c>
      <c r="D22" s="4">
        <v>0.33333333333333331</v>
      </c>
      <c r="E22" s="4">
        <v>0.16666666666666666</v>
      </c>
      <c r="F22" s="4">
        <v>0.375</v>
      </c>
      <c r="G22" s="4"/>
      <c r="H22" s="4"/>
      <c r="I22" s="4">
        <v>0.3125</v>
      </c>
      <c r="J22" s="4">
        <v>0.35416666666666669</v>
      </c>
      <c r="K22" s="4">
        <v>0.33333333333333331</v>
      </c>
      <c r="L22" s="4"/>
      <c r="M22" s="4">
        <v>0.29166666666666669</v>
      </c>
      <c r="N22" s="4">
        <v>0.33333333333333331</v>
      </c>
      <c r="O22" s="4"/>
      <c r="P22" s="33">
        <f t="shared" si="0"/>
        <v>3.104166666666667</v>
      </c>
    </row>
    <row r="23" spans="1:16" ht="21" customHeight="1" x14ac:dyDescent="0.25">
      <c r="A23" s="35" t="s">
        <v>36</v>
      </c>
      <c r="B23" s="4">
        <v>0.35416666666666669</v>
      </c>
      <c r="C23" s="4">
        <v>0.35416666666666669</v>
      </c>
      <c r="D23" s="4">
        <v>0.41666666666666669</v>
      </c>
      <c r="E23" s="4">
        <v>0.375</v>
      </c>
      <c r="F23" s="4">
        <v>0.375</v>
      </c>
      <c r="G23" s="4">
        <v>0.27083333333333331</v>
      </c>
      <c r="H23" s="4"/>
      <c r="I23" s="4">
        <v>0.35416666666666669</v>
      </c>
      <c r="J23" s="4">
        <v>0.35416666666666669</v>
      </c>
      <c r="K23" s="4">
        <v>0.5</v>
      </c>
      <c r="L23" s="4">
        <v>0.35416666666666669</v>
      </c>
      <c r="M23" s="4">
        <v>0.39583333333333331</v>
      </c>
      <c r="N23" s="4">
        <v>0.33333333333333331</v>
      </c>
      <c r="O23" s="4"/>
      <c r="P23" s="33">
        <f t="shared" si="0"/>
        <v>4.4374999999999991</v>
      </c>
    </row>
    <row r="24" spans="1:16" ht="21" customHeight="1" x14ac:dyDescent="0.25">
      <c r="A24" s="35" t="s">
        <v>43</v>
      </c>
      <c r="B24" s="4">
        <v>0.4375</v>
      </c>
      <c r="C24" s="4">
        <v>0.47916666666666669</v>
      </c>
      <c r="D24" s="4">
        <v>0.375</v>
      </c>
      <c r="E24" s="4">
        <v>0.375</v>
      </c>
      <c r="F24" s="4">
        <v>0.5</v>
      </c>
      <c r="G24" s="4">
        <v>0.3125</v>
      </c>
      <c r="H24" s="4">
        <v>0.20833333333333334</v>
      </c>
      <c r="I24" s="4">
        <v>0.54166666666666663</v>
      </c>
      <c r="J24" s="4">
        <v>0.39583333333333331</v>
      </c>
      <c r="K24" s="4">
        <v>0.58333333333333337</v>
      </c>
      <c r="L24" s="4">
        <v>0.45833333333333331</v>
      </c>
      <c r="M24" s="4">
        <v>0.39583333333333331</v>
      </c>
      <c r="N24" s="4">
        <v>0.25</v>
      </c>
      <c r="O24" s="4">
        <v>0.16666666666666666</v>
      </c>
      <c r="P24" s="33">
        <f t="shared" si="0"/>
        <v>5.479166666666667</v>
      </c>
    </row>
    <row r="25" spans="1:16" ht="21" customHeight="1" x14ac:dyDescent="0.25">
      <c r="A25" s="35" t="s">
        <v>47</v>
      </c>
      <c r="B25" s="4">
        <v>0.60416666666666663</v>
      </c>
      <c r="C25" s="4">
        <v>0.47916666666666669</v>
      </c>
      <c r="D25" s="4">
        <v>0.39583333333333331</v>
      </c>
      <c r="E25" s="4"/>
      <c r="F25" s="4">
        <v>0.54166666666666663</v>
      </c>
      <c r="G25" s="4">
        <v>0.375</v>
      </c>
      <c r="H25" s="4">
        <v>0.125</v>
      </c>
      <c r="I25" s="4">
        <v>0.5625</v>
      </c>
      <c r="J25" s="4">
        <v>0.29166666666666669</v>
      </c>
      <c r="K25" s="4">
        <v>0.4375</v>
      </c>
      <c r="L25" s="4">
        <v>0.47916666666666669</v>
      </c>
      <c r="M25" s="4">
        <v>0.47916666666666669</v>
      </c>
      <c r="N25" s="4">
        <v>0.29166666666666669</v>
      </c>
      <c r="O25" s="4">
        <v>0.16666666666666666</v>
      </c>
      <c r="P25" s="33">
        <f>SUM(B25:O25)</f>
        <v>5.229166666666667</v>
      </c>
    </row>
    <row r="26" spans="1:16" ht="21" customHeight="1" x14ac:dyDescent="0.25">
      <c r="A26" s="35" t="s">
        <v>37</v>
      </c>
      <c r="B26" s="4">
        <v>0.35416666666666669</v>
      </c>
      <c r="C26" s="4"/>
      <c r="D26" s="4"/>
      <c r="E26" s="4"/>
      <c r="F26" s="4"/>
      <c r="G26" s="4"/>
      <c r="H26" s="4"/>
      <c r="I26" s="11"/>
      <c r="J26" s="4"/>
      <c r="K26" s="4"/>
      <c r="L26" s="4"/>
      <c r="M26" s="4"/>
      <c r="N26" s="4"/>
      <c r="O26" s="4"/>
      <c r="P26" s="33">
        <f t="shared" si="0"/>
        <v>0.35416666666666669</v>
      </c>
    </row>
    <row r="27" spans="1:16" ht="21" customHeight="1" x14ac:dyDescent="0.25">
      <c r="A27" s="35" t="s">
        <v>38</v>
      </c>
      <c r="B27" s="4">
        <v>0.58333333333333337</v>
      </c>
      <c r="C27" s="4">
        <v>0.35416666666666669</v>
      </c>
      <c r="D27" s="4">
        <v>0.375</v>
      </c>
      <c r="E27" s="4">
        <v>0.375</v>
      </c>
      <c r="F27" s="4">
        <v>0.375</v>
      </c>
      <c r="G27" s="4">
        <v>0.27083333333333331</v>
      </c>
      <c r="H27" s="4"/>
      <c r="I27" s="4"/>
      <c r="J27" s="4">
        <v>0.35416666666666669</v>
      </c>
      <c r="K27" s="4">
        <v>0.3125</v>
      </c>
      <c r="L27" s="4">
        <v>0.35416666666666669</v>
      </c>
      <c r="M27" s="4"/>
      <c r="N27" s="4"/>
      <c r="O27" s="4"/>
      <c r="P27" s="33">
        <f t="shared" si="0"/>
        <v>3.3541666666666665</v>
      </c>
    </row>
    <row r="28" spans="1:16" ht="21" customHeight="1" x14ac:dyDescent="0.25">
      <c r="A28" s="35" t="s">
        <v>39</v>
      </c>
      <c r="B28" s="4">
        <v>0.35416666666666669</v>
      </c>
      <c r="C28" s="4">
        <v>0.33333333333333331</v>
      </c>
      <c r="D28" s="4">
        <v>0.375</v>
      </c>
      <c r="E28" s="4">
        <v>0.375</v>
      </c>
      <c r="F28" s="4">
        <v>0.375</v>
      </c>
      <c r="G28" s="4">
        <v>0.27083333333333331</v>
      </c>
      <c r="H28" s="4"/>
      <c r="I28" s="4">
        <v>0.3125</v>
      </c>
      <c r="J28" s="4">
        <v>0.35416666666666669</v>
      </c>
      <c r="K28" s="4">
        <v>0.33333333333333331</v>
      </c>
      <c r="L28" s="4">
        <v>0.35416666666666669</v>
      </c>
      <c r="M28" s="4"/>
      <c r="N28" s="4"/>
      <c r="O28" s="4"/>
      <c r="P28" s="33">
        <f t="shared" si="0"/>
        <v>3.4375</v>
      </c>
    </row>
    <row r="29" spans="1:16" ht="21" customHeight="1" x14ac:dyDescent="0.25">
      <c r="A29" s="35" t="s">
        <v>40</v>
      </c>
      <c r="B29" s="4">
        <v>0.35416666666666669</v>
      </c>
      <c r="C29" s="4">
        <v>0.35416666666666669</v>
      </c>
      <c r="D29" s="4">
        <v>0.375</v>
      </c>
      <c r="E29" s="4">
        <v>0.33333333333333331</v>
      </c>
      <c r="F29" s="4">
        <v>0.375</v>
      </c>
      <c r="G29" s="4">
        <v>0.27083333333333331</v>
      </c>
      <c r="H29" s="4"/>
      <c r="I29" s="4">
        <v>0.33333333333333331</v>
      </c>
      <c r="J29" s="4">
        <v>0.35416666666666669</v>
      </c>
      <c r="K29" s="4">
        <v>0.33333333333333331</v>
      </c>
      <c r="L29" s="4">
        <v>0.35416666666666669</v>
      </c>
      <c r="M29" s="4"/>
      <c r="N29" s="4"/>
      <c r="O29" s="4"/>
      <c r="P29" s="33">
        <f t="shared" si="0"/>
        <v>3.4375</v>
      </c>
    </row>
    <row r="30" spans="1:16" ht="21" customHeight="1" x14ac:dyDescent="0.25">
      <c r="A30" s="35" t="s">
        <v>41</v>
      </c>
      <c r="B30" s="4">
        <v>0.25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33">
        <f t="shared" si="0"/>
        <v>0.25</v>
      </c>
    </row>
    <row r="31" spans="1:16" ht="21" customHeight="1" x14ac:dyDescent="0.25">
      <c r="A31" s="35" t="s">
        <v>42</v>
      </c>
      <c r="B31" s="4">
        <v>0.25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33">
        <f t="shared" ref="P31:P39" si="1">SUM(B31:O31)</f>
        <v>0.25</v>
      </c>
    </row>
    <row r="32" spans="1:16" ht="21" customHeight="1" x14ac:dyDescent="0.25">
      <c r="A32" s="38" t="s">
        <v>27</v>
      </c>
      <c r="B32" s="4">
        <v>0.25</v>
      </c>
      <c r="C32" s="4">
        <v>0.35416666666666669</v>
      </c>
      <c r="D32" s="4">
        <v>0.33333333333333331</v>
      </c>
      <c r="E32" s="4">
        <v>0.375</v>
      </c>
      <c r="F32" s="4">
        <v>0.33333333333333331</v>
      </c>
      <c r="G32" s="4">
        <v>0.22916666666666666</v>
      </c>
      <c r="H32" s="4"/>
      <c r="I32" s="4">
        <v>0.54166666666666663</v>
      </c>
      <c r="J32" s="4">
        <v>0.29166666666666669</v>
      </c>
      <c r="K32" s="4">
        <v>0.33333333333333331</v>
      </c>
      <c r="L32" s="4"/>
      <c r="M32" s="4"/>
      <c r="N32" s="4"/>
      <c r="O32" s="4"/>
      <c r="P32" s="33">
        <f t="shared" si="1"/>
        <v>3.0416666666666665</v>
      </c>
    </row>
    <row r="33" spans="1:16" ht="21" customHeight="1" x14ac:dyDescent="0.25">
      <c r="A33" s="35" t="s">
        <v>44</v>
      </c>
      <c r="B33" s="4">
        <v>0.25</v>
      </c>
      <c r="C33" s="4">
        <v>0.35416666666666669</v>
      </c>
      <c r="D33" s="4">
        <v>0.33333333333333331</v>
      </c>
      <c r="E33" s="4"/>
      <c r="F33" s="4">
        <v>0.33333333333333331</v>
      </c>
      <c r="G33" s="4">
        <v>0.25</v>
      </c>
      <c r="H33" s="4"/>
      <c r="I33" s="4">
        <v>0.52083333333333337</v>
      </c>
      <c r="J33" s="4">
        <v>0.3125</v>
      </c>
      <c r="K33" s="4">
        <v>0.3125</v>
      </c>
      <c r="L33" s="4"/>
      <c r="M33" s="4"/>
      <c r="N33" s="4"/>
      <c r="O33" s="4"/>
      <c r="P33" s="33">
        <f t="shared" si="1"/>
        <v>2.6666666666666665</v>
      </c>
    </row>
    <row r="34" spans="1:16" ht="21" customHeight="1" x14ac:dyDescent="0.25">
      <c r="A34" s="35" t="s">
        <v>45</v>
      </c>
      <c r="B34" s="4">
        <v>0.25</v>
      </c>
      <c r="C34" s="4">
        <v>0.35416666666666669</v>
      </c>
      <c r="D34" s="4">
        <v>0.375</v>
      </c>
      <c r="E34" s="11"/>
      <c r="F34" s="4">
        <v>0.16666666666666666</v>
      </c>
      <c r="G34" s="4">
        <v>0.375</v>
      </c>
      <c r="H34" s="4">
        <v>0.20833333333333334</v>
      </c>
      <c r="I34" s="4">
        <v>0.20833333333333334</v>
      </c>
      <c r="J34" s="4">
        <v>0.27083333333333331</v>
      </c>
      <c r="K34" s="4">
        <v>0.29166666666666669</v>
      </c>
      <c r="L34" s="4">
        <v>0.33333333333333331</v>
      </c>
      <c r="M34" s="4"/>
      <c r="N34" s="4"/>
      <c r="O34" s="4"/>
      <c r="P34" s="33">
        <f t="shared" si="1"/>
        <v>2.8333333333333335</v>
      </c>
    </row>
    <row r="35" spans="1:16" ht="21" customHeight="1" x14ac:dyDescent="0.25">
      <c r="A35" s="35" t="s">
        <v>46</v>
      </c>
      <c r="B35" s="4">
        <v>0.25</v>
      </c>
      <c r="C35" s="4">
        <v>0.33333333333333331</v>
      </c>
      <c r="D35" s="4">
        <v>0.375</v>
      </c>
      <c r="E35" s="4">
        <v>0.33333333333333331</v>
      </c>
      <c r="F35" s="4">
        <v>0.375</v>
      </c>
      <c r="G35" s="4">
        <v>0.3125</v>
      </c>
      <c r="H35" s="11"/>
      <c r="I35" s="4">
        <v>0.33333333333333331</v>
      </c>
      <c r="J35" s="4">
        <v>0.14583333333333334</v>
      </c>
      <c r="K35" s="4">
        <v>0.47916666666666669</v>
      </c>
      <c r="L35" s="4"/>
      <c r="M35" s="4"/>
      <c r="N35" s="4"/>
      <c r="O35" s="4"/>
      <c r="P35" s="33">
        <f t="shared" si="1"/>
        <v>2.9375</v>
      </c>
    </row>
    <row r="36" spans="1:16" ht="21" customHeight="1" x14ac:dyDescent="0.25">
      <c r="A36" s="35" t="s">
        <v>30</v>
      </c>
      <c r="B36" s="4">
        <v>0.35416666666666669</v>
      </c>
      <c r="C36" s="4">
        <v>0.35416666666666669</v>
      </c>
      <c r="D36" s="4">
        <v>0.375</v>
      </c>
      <c r="E36" s="4">
        <v>0.375</v>
      </c>
      <c r="F36" s="4">
        <v>0.375</v>
      </c>
      <c r="G36" s="4">
        <v>0.27083333333333331</v>
      </c>
      <c r="H36" s="11"/>
      <c r="I36" s="4">
        <v>0.33333333333333331</v>
      </c>
      <c r="J36" s="4">
        <v>0.35416666666666669</v>
      </c>
      <c r="K36" s="4">
        <v>0.33333333333333331</v>
      </c>
      <c r="L36" s="4">
        <v>0.35416666666666669</v>
      </c>
      <c r="M36" s="4">
        <v>0.39583333333333331</v>
      </c>
      <c r="N36" s="4"/>
      <c r="O36" s="4"/>
      <c r="P36" s="33">
        <f t="shared" si="1"/>
        <v>3.8750000000000004</v>
      </c>
    </row>
    <row r="37" spans="1:16" ht="21" customHeight="1" x14ac:dyDescent="0.25">
      <c r="A37" s="35" t="s">
        <v>50</v>
      </c>
      <c r="B37" s="4">
        <v>0.4375</v>
      </c>
      <c r="C37" s="4">
        <v>0.35416666666666669</v>
      </c>
      <c r="D37" s="4">
        <v>0.375</v>
      </c>
      <c r="E37" s="4">
        <v>0.33333333333333331</v>
      </c>
      <c r="F37" s="11"/>
      <c r="G37" s="4">
        <v>0.3125</v>
      </c>
      <c r="H37" s="4">
        <v>0.20833333333333334</v>
      </c>
      <c r="I37" s="4">
        <v>0.52083333333333337</v>
      </c>
      <c r="J37" s="4">
        <v>0.1875</v>
      </c>
      <c r="K37" s="4">
        <v>0.14583333333333334</v>
      </c>
      <c r="L37" s="4"/>
      <c r="M37" s="10"/>
      <c r="N37" s="4"/>
      <c r="O37" s="4"/>
      <c r="P37" s="33">
        <f t="shared" si="1"/>
        <v>2.8750000000000004</v>
      </c>
    </row>
    <row r="38" spans="1:16" ht="21" customHeight="1" x14ac:dyDescent="0.25">
      <c r="A38" s="35" t="s">
        <v>51</v>
      </c>
      <c r="B38" s="4">
        <v>0.35416666666666669</v>
      </c>
      <c r="C38" s="4">
        <v>0.35416666666666669</v>
      </c>
      <c r="D38" s="4">
        <v>0.375</v>
      </c>
      <c r="E38" s="4">
        <v>0.375</v>
      </c>
      <c r="F38" s="4">
        <v>0.375</v>
      </c>
      <c r="G38" s="4">
        <v>0.27083333333333331</v>
      </c>
      <c r="H38" s="11"/>
      <c r="I38" s="4">
        <v>0.33333333333333331</v>
      </c>
      <c r="J38" s="4">
        <v>0.35416666666666669</v>
      </c>
      <c r="K38" s="4">
        <v>0.33333333333333331</v>
      </c>
      <c r="L38" s="4">
        <v>0.35416666666666669</v>
      </c>
      <c r="M38" s="4"/>
      <c r="N38" s="4"/>
      <c r="O38" s="4"/>
      <c r="P38" s="33">
        <f t="shared" si="1"/>
        <v>3.479166666666667</v>
      </c>
    </row>
    <row r="39" spans="1:16" ht="21" customHeight="1" x14ac:dyDescent="0.25">
      <c r="A39" s="35" t="s">
        <v>52</v>
      </c>
      <c r="B39" s="4">
        <v>0.35416666666666669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33">
        <f t="shared" si="1"/>
        <v>0.35416666666666669</v>
      </c>
    </row>
    <row r="40" spans="1:16" s="43" customFormat="1" ht="25.5" customHeight="1" x14ac:dyDescent="0.25">
      <c r="A40" s="34" t="s">
        <v>54</v>
      </c>
      <c r="B40" s="42">
        <f>SUM(B2:B39)</f>
        <v>11.541666666666664</v>
      </c>
      <c r="C40" s="42">
        <f t="shared" ref="C40:P40" si="2">SUM(C2:C39)</f>
        <v>10.895833333333332</v>
      </c>
      <c r="D40" s="42">
        <f t="shared" si="2"/>
        <v>10.6875</v>
      </c>
      <c r="E40" s="42">
        <f t="shared" si="2"/>
        <v>8.3333333333333321</v>
      </c>
      <c r="F40" s="42">
        <f t="shared" si="2"/>
        <v>10.625000000000002</v>
      </c>
      <c r="G40" s="42">
        <f t="shared" si="2"/>
        <v>8.2291666666666661</v>
      </c>
      <c r="H40" s="42">
        <f t="shared" si="2"/>
        <v>1.1666666666666667</v>
      </c>
      <c r="I40" s="42">
        <f t="shared" si="2"/>
        <v>10.729166666666671</v>
      </c>
      <c r="J40" s="42">
        <f t="shared" si="2"/>
        <v>10.458333333333334</v>
      </c>
      <c r="K40" s="42">
        <f t="shared" si="2"/>
        <v>11</v>
      </c>
      <c r="L40" s="42">
        <f t="shared" si="2"/>
        <v>8.9583333333333339</v>
      </c>
      <c r="M40" s="42">
        <f t="shared" si="2"/>
        <v>3.2083333333333335</v>
      </c>
      <c r="N40" s="42">
        <f t="shared" si="2"/>
        <v>2.583333333333333</v>
      </c>
      <c r="O40" s="42">
        <f t="shared" si="2"/>
        <v>0.83333333333333326</v>
      </c>
      <c r="P40" s="42">
        <f t="shared" si="2"/>
        <v>109.25000000000003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61FED-68ED-40C8-8209-6FFA97110F5D}">
  <dimension ref="A1:G20"/>
  <sheetViews>
    <sheetView workbookViewId="0">
      <selection activeCell="A5" sqref="A5:A18"/>
    </sheetView>
  </sheetViews>
  <sheetFormatPr baseColWidth="10" defaultRowHeight="15" x14ac:dyDescent="0.25"/>
  <cols>
    <col min="1" max="1" width="41.7109375" customWidth="1"/>
    <col min="7" max="7" width="19.42578125" bestFit="1" customWidth="1"/>
  </cols>
  <sheetData>
    <row r="1" spans="1:7" ht="15.75" x14ac:dyDescent="0.25">
      <c r="A1" s="8"/>
      <c r="B1" s="9"/>
      <c r="C1" s="9"/>
      <c r="D1" s="9"/>
      <c r="E1" s="9"/>
      <c r="F1" s="9"/>
    </row>
    <row r="2" spans="1:7" ht="15.75" x14ac:dyDescent="0.25">
      <c r="A2" s="8"/>
      <c r="B2" s="9"/>
      <c r="C2" s="9"/>
      <c r="D2" s="9"/>
      <c r="E2" s="9"/>
      <c r="F2" s="9"/>
    </row>
    <row r="3" spans="1:7" ht="15.75" x14ac:dyDescent="0.25">
      <c r="A3" s="8"/>
      <c r="B3" s="66" t="s">
        <v>12</v>
      </c>
      <c r="C3" s="66"/>
      <c r="D3" s="66"/>
      <c r="E3" s="66"/>
      <c r="F3" s="9"/>
    </row>
    <row r="4" spans="1:7" ht="25.5" customHeight="1" x14ac:dyDescent="0.25">
      <c r="A4" s="14" t="s">
        <v>0</v>
      </c>
      <c r="B4" s="15">
        <v>46097</v>
      </c>
      <c r="C4" s="15">
        <v>46098</v>
      </c>
      <c r="D4" s="15">
        <v>46099</v>
      </c>
      <c r="E4" s="15">
        <v>46111</v>
      </c>
      <c r="F4" s="15">
        <v>46112</v>
      </c>
      <c r="G4" s="16" t="s">
        <v>13</v>
      </c>
    </row>
    <row r="5" spans="1:7" ht="24" customHeight="1" x14ac:dyDescent="0.3">
      <c r="A5" s="17" t="s">
        <v>16</v>
      </c>
      <c r="B5" s="18">
        <v>0.35416666666666669</v>
      </c>
      <c r="C5" s="18">
        <v>0.33333333333333331</v>
      </c>
      <c r="D5" s="19"/>
      <c r="E5" s="18">
        <v>0.20833333333333334</v>
      </c>
      <c r="F5" s="18"/>
      <c r="G5" s="20">
        <f t="shared" ref="G5:G6" si="0">SUM(B5:F5)</f>
        <v>0.89583333333333337</v>
      </c>
    </row>
    <row r="6" spans="1:7" ht="24" customHeight="1" x14ac:dyDescent="0.3">
      <c r="A6" s="22" t="s">
        <v>18</v>
      </c>
      <c r="B6" s="18">
        <v>0.35416666666666669</v>
      </c>
      <c r="C6" s="18">
        <v>0.29166666666666669</v>
      </c>
      <c r="D6" s="18"/>
      <c r="E6" s="18"/>
      <c r="F6" s="18"/>
      <c r="G6" s="20">
        <f t="shared" si="0"/>
        <v>0.64583333333333337</v>
      </c>
    </row>
    <row r="7" spans="1:7" ht="24" customHeight="1" x14ac:dyDescent="0.3">
      <c r="A7" s="23"/>
      <c r="B7" s="24"/>
      <c r="C7" s="24"/>
      <c r="D7" s="25"/>
      <c r="E7" s="26"/>
      <c r="F7" s="24"/>
      <c r="G7" s="24"/>
    </row>
    <row r="8" spans="1:7" ht="24" customHeight="1" x14ac:dyDescent="0.3">
      <c r="A8" s="22" t="s">
        <v>25</v>
      </c>
      <c r="B8" s="18">
        <v>0.33333333333333331</v>
      </c>
      <c r="C8" s="18">
        <v>0.27083333333333331</v>
      </c>
      <c r="D8" s="19"/>
      <c r="E8" s="18">
        <v>0.1875</v>
      </c>
      <c r="F8" s="18"/>
      <c r="G8" s="20">
        <f t="shared" ref="G8:G18" si="1">SUM(B8:F8)</f>
        <v>0.79166666666666663</v>
      </c>
    </row>
    <row r="9" spans="1:7" ht="24" customHeight="1" x14ac:dyDescent="0.3">
      <c r="A9" s="27" t="s">
        <v>27</v>
      </c>
      <c r="B9" s="18">
        <v>0.33333333333333331</v>
      </c>
      <c r="C9" s="18">
        <v>0.25</v>
      </c>
      <c r="D9" s="19">
        <v>0.29166666666666669</v>
      </c>
      <c r="E9" s="18"/>
      <c r="F9" s="18"/>
      <c r="G9" s="20">
        <f t="shared" si="1"/>
        <v>0.875</v>
      </c>
    </row>
    <row r="10" spans="1:7" ht="24" customHeight="1" x14ac:dyDescent="0.3">
      <c r="A10" s="22" t="s">
        <v>30</v>
      </c>
      <c r="B10" s="18">
        <v>0.35416666666666669</v>
      </c>
      <c r="C10" s="18">
        <v>0.3125</v>
      </c>
      <c r="D10" s="18">
        <v>0.16666666666666666</v>
      </c>
      <c r="E10" s="18">
        <v>0.1875</v>
      </c>
      <c r="F10" s="18"/>
      <c r="G10" s="20">
        <f t="shared" si="1"/>
        <v>1.0208333333333335</v>
      </c>
    </row>
    <row r="11" spans="1:7" ht="24" customHeight="1" x14ac:dyDescent="0.3">
      <c r="A11" s="22" t="s">
        <v>31</v>
      </c>
      <c r="B11" s="18">
        <v>0.375</v>
      </c>
      <c r="C11" s="18">
        <v>0.3125</v>
      </c>
      <c r="D11" s="18"/>
      <c r="E11" s="19">
        <v>0.20833333333333334</v>
      </c>
      <c r="F11" s="18"/>
      <c r="G11" s="20">
        <f t="shared" si="1"/>
        <v>0.89583333333333337</v>
      </c>
    </row>
    <row r="12" spans="1:7" ht="24" customHeight="1" x14ac:dyDescent="0.3">
      <c r="A12" s="22" t="s">
        <v>32</v>
      </c>
      <c r="B12" s="18">
        <v>0.375</v>
      </c>
      <c r="C12" s="18">
        <v>0.27083333333333331</v>
      </c>
      <c r="D12" s="19">
        <v>0.33333333333333331</v>
      </c>
      <c r="E12" s="21">
        <v>0.1875</v>
      </c>
      <c r="F12" s="18"/>
      <c r="G12" s="20">
        <f t="shared" si="1"/>
        <v>1.1666666666666665</v>
      </c>
    </row>
    <row r="13" spans="1:7" ht="24" customHeight="1" x14ac:dyDescent="0.3">
      <c r="A13" s="22" t="s">
        <v>33</v>
      </c>
      <c r="B13" s="18">
        <v>0.375</v>
      </c>
      <c r="C13" s="18">
        <v>0.35416666666666669</v>
      </c>
      <c r="D13" s="19">
        <v>0.16666666666666666</v>
      </c>
      <c r="E13" s="21">
        <v>0.1875</v>
      </c>
      <c r="F13" s="18"/>
      <c r="G13" s="20">
        <f t="shared" si="1"/>
        <v>1.0833333333333335</v>
      </c>
    </row>
    <row r="14" spans="1:7" ht="24" customHeight="1" x14ac:dyDescent="0.3">
      <c r="A14" s="22" t="s">
        <v>34</v>
      </c>
      <c r="B14" s="18">
        <v>0.35416666666666669</v>
      </c>
      <c r="C14" s="18">
        <v>0.20833333333333334</v>
      </c>
      <c r="D14" s="19"/>
      <c r="E14" s="18"/>
      <c r="F14" s="18"/>
      <c r="G14" s="20">
        <f t="shared" si="1"/>
        <v>0.5625</v>
      </c>
    </row>
    <row r="15" spans="1:7" ht="24" customHeight="1" x14ac:dyDescent="0.3">
      <c r="A15" s="22" t="s">
        <v>35</v>
      </c>
      <c r="B15" s="18">
        <v>0.35416666666666669</v>
      </c>
      <c r="C15" s="18">
        <v>0.1875</v>
      </c>
      <c r="D15" s="18"/>
      <c r="E15" s="18"/>
      <c r="F15" s="18"/>
      <c r="G15" s="20">
        <f t="shared" si="1"/>
        <v>0.54166666666666674</v>
      </c>
    </row>
    <row r="16" spans="1:7" ht="24" customHeight="1" x14ac:dyDescent="0.3">
      <c r="A16" s="22" t="s">
        <v>36</v>
      </c>
      <c r="B16" s="18">
        <v>0.375</v>
      </c>
      <c r="C16" s="18">
        <v>0.22916666666666666</v>
      </c>
      <c r="D16" s="18"/>
      <c r="E16" s="18">
        <v>0.1875</v>
      </c>
      <c r="F16" s="18"/>
      <c r="G16" s="20">
        <f t="shared" si="1"/>
        <v>0.79166666666666663</v>
      </c>
    </row>
    <row r="17" spans="1:7" ht="24" customHeight="1" x14ac:dyDescent="0.3">
      <c r="A17" s="22" t="s">
        <v>43</v>
      </c>
      <c r="B17" s="18">
        <v>0.29166666666666669</v>
      </c>
      <c r="C17" s="18">
        <v>0.33333333333333331</v>
      </c>
      <c r="D17" s="18">
        <v>0.3125</v>
      </c>
      <c r="E17" s="21">
        <v>0.1875</v>
      </c>
      <c r="F17" s="18"/>
      <c r="G17" s="20">
        <f t="shared" si="1"/>
        <v>1.125</v>
      </c>
    </row>
    <row r="18" spans="1:7" ht="24" customHeight="1" x14ac:dyDescent="0.3">
      <c r="A18" s="22" t="s">
        <v>47</v>
      </c>
      <c r="B18" s="18">
        <v>0.39583333333333331</v>
      </c>
      <c r="C18" s="18">
        <v>0.35416666666666669</v>
      </c>
      <c r="D18" s="18">
        <v>0.3125</v>
      </c>
      <c r="E18" s="18">
        <v>0.1875</v>
      </c>
      <c r="F18" s="18"/>
      <c r="G18" s="20">
        <f t="shared" si="1"/>
        <v>1.25</v>
      </c>
    </row>
    <row r="19" spans="1:7" ht="24" customHeight="1" x14ac:dyDescent="0.25">
      <c r="A19" s="49" t="s">
        <v>54</v>
      </c>
      <c r="B19" s="50">
        <f t="shared" ref="B19:F19" si="2">SUM(B5:B18)</f>
        <v>4.625</v>
      </c>
      <c r="C19" s="50">
        <f t="shared" si="2"/>
        <v>3.708333333333333</v>
      </c>
      <c r="D19" s="50">
        <f t="shared" si="2"/>
        <v>1.5833333333333335</v>
      </c>
      <c r="E19" s="50">
        <f t="shared" si="2"/>
        <v>1.7291666666666667</v>
      </c>
      <c r="F19" s="50">
        <f t="shared" si="2"/>
        <v>0</v>
      </c>
      <c r="G19" s="50">
        <f>SUM(G5:G18)</f>
        <v>11.645833333333332</v>
      </c>
    </row>
    <row r="20" spans="1:7" ht="24" customHeight="1" x14ac:dyDescent="0.25">
      <c r="A20" s="8"/>
      <c r="B20" s="9"/>
      <c r="C20" s="9"/>
      <c r="D20" s="9"/>
      <c r="E20" s="9"/>
      <c r="F20" s="9"/>
    </row>
  </sheetData>
  <mergeCells count="1"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TOTAL</vt:lpstr>
      <vt:lpstr>OUVRIERS TRAITEMENT FIXE MARS</vt:lpstr>
      <vt:lpstr>POINTAGE 1ER QUINZ MARS</vt:lpstr>
      <vt:lpstr>POINTAGE 2EME QUINZ MARS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2026-04-06T11:59:30Z</dcterms:created>
  <dcterms:modified xsi:type="dcterms:W3CDTF">2026-04-08T14:30:35Z</dcterms:modified>
</cp:coreProperties>
</file>