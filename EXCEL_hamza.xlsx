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160DD3E3-4634-4055-BA6D-DE439B3BBACC}" xr6:coauthVersionLast="47" xr6:coauthVersionMax="47" xr10:uidLastSave="{00000000-0000-0000-0000-000000000000}"/>
  <bookViews>
    <workbookView xWindow="-120" yWindow="-120" windowWidth="29040" windowHeight="15840" xr2:uid="{F8A3E930-4A49-4442-ACFB-2B77E9E9CF0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8" i="1" l="1"/>
  <c r="E34" i="1"/>
  <c r="F37" i="1"/>
  <c r="D3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2" i="1"/>
  <c r="H34" i="1" a="1"/>
  <c r="H34" i="1" s="1"/>
  <c r="P2" i="1"/>
  <c r="Q2" i="1" s="1"/>
  <c r="R2" i="1" s="1"/>
  <c r="P3" i="1"/>
  <c r="Q3" i="1" s="1"/>
  <c r="R3" i="1" s="1"/>
  <c r="P4" i="1"/>
  <c r="Q4" i="1" s="1"/>
  <c r="R4" i="1" s="1"/>
  <c r="P5" i="1"/>
  <c r="Q5" i="1" s="1"/>
  <c r="R5" i="1" s="1"/>
  <c r="P6" i="1"/>
  <c r="Q6" i="1" s="1"/>
  <c r="R6" i="1" s="1"/>
  <c r="P7" i="1"/>
  <c r="Q7" i="1" s="1"/>
  <c r="R7" i="1" s="1"/>
  <c r="P8" i="1"/>
  <c r="Q8" i="1" s="1"/>
  <c r="R8" i="1" s="1"/>
  <c r="P9" i="1"/>
  <c r="Q9" i="1" s="1"/>
  <c r="R9" i="1" s="1"/>
  <c r="P10" i="1"/>
  <c r="Q10" i="1" s="1"/>
  <c r="R10" i="1" s="1"/>
  <c r="P11" i="1"/>
  <c r="Q11" i="1" s="1"/>
  <c r="R11" i="1" s="1"/>
  <c r="P12" i="1"/>
  <c r="Q12" i="1" s="1"/>
  <c r="R12" i="1" s="1"/>
  <c r="P13" i="1"/>
  <c r="Q13" i="1" s="1"/>
  <c r="R13" i="1" s="1"/>
  <c r="P14" i="1"/>
  <c r="Q14" i="1" s="1"/>
  <c r="R14" i="1" s="1"/>
  <c r="P15" i="1"/>
  <c r="Q15" i="1" s="1"/>
  <c r="R15" i="1" s="1"/>
  <c r="P16" i="1"/>
  <c r="Q16" i="1" s="1"/>
  <c r="R16" i="1" s="1"/>
  <c r="P17" i="1"/>
  <c r="Q17" i="1" s="1"/>
  <c r="R17" i="1" s="1"/>
  <c r="P18" i="1"/>
  <c r="Q18" i="1" s="1"/>
  <c r="R18" i="1" s="1"/>
  <c r="P19" i="1"/>
  <c r="Q19" i="1" s="1"/>
  <c r="R19" i="1" s="1"/>
  <c r="P20" i="1"/>
  <c r="Q20" i="1" s="1"/>
  <c r="R20" i="1" s="1"/>
  <c r="P21" i="1"/>
  <c r="Q21" i="1" s="1"/>
  <c r="R21" i="1" s="1"/>
  <c r="P22" i="1"/>
  <c r="Q22" i="1" s="1"/>
  <c r="R22" i="1" s="1"/>
  <c r="P23" i="1"/>
  <c r="Q23" i="1" s="1"/>
  <c r="R23" i="1" s="1"/>
  <c r="P24" i="1"/>
  <c r="Q24" i="1" s="1"/>
  <c r="R24" i="1" s="1"/>
  <c r="P25" i="1"/>
  <c r="Q25" i="1" s="1"/>
  <c r="R25" i="1" s="1"/>
  <c r="P26" i="1"/>
  <c r="Q26" i="1" s="1"/>
  <c r="R26" i="1" s="1"/>
  <c r="P27" i="1"/>
  <c r="Q27" i="1" s="1"/>
  <c r="R27" i="1" s="1"/>
  <c r="P28" i="1"/>
  <c r="Q28" i="1" s="1"/>
  <c r="R28" i="1" s="1"/>
  <c r="P29" i="1"/>
  <c r="Q29" i="1" s="1"/>
  <c r="R29" i="1" s="1"/>
  <c r="P30" i="1"/>
  <c r="Q30" i="1" s="1"/>
  <c r="R30" i="1" s="1"/>
  <c r="P31" i="1"/>
  <c r="Q31" i="1" s="1"/>
  <c r="R31" i="1" s="1"/>
  <c r="P32" i="1"/>
  <c r="Q32" i="1" s="1"/>
  <c r="R32" i="1" s="1"/>
  <c r="M5" i="1"/>
  <c r="M3" i="1"/>
  <c r="M4" i="1"/>
  <c r="M2" i="1"/>
  <c r="M6" i="1"/>
  <c r="M7" i="1"/>
  <c r="M8" i="1"/>
  <c r="M10" i="1"/>
  <c r="M11" i="1"/>
  <c r="M13" i="1"/>
  <c r="M14" i="1"/>
  <c r="M16" i="1"/>
  <c r="M17" i="1"/>
  <c r="M19" i="1"/>
  <c r="M20" i="1"/>
  <c r="M21" i="1"/>
  <c r="M22" i="1"/>
  <c r="M23" i="1"/>
  <c r="M24" i="1"/>
  <c r="M25" i="1"/>
  <c r="M27" i="1"/>
  <c r="M28" i="1"/>
  <c r="M31" i="1"/>
  <c r="M32" i="1"/>
  <c r="J2" i="1"/>
  <c r="J3" i="1"/>
  <c r="N3" i="1" s="1"/>
  <c r="J4" i="1"/>
  <c r="N4" i="1" s="1"/>
  <c r="J5" i="1"/>
  <c r="J6" i="1"/>
  <c r="N6" i="1" s="1"/>
  <c r="J7" i="1"/>
  <c r="N7" i="1" s="1"/>
  <c r="J8" i="1"/>
  <c r="N8" i="1" s="1"/>
  <c r="J10" i="1"/>
  <c r="N10" i="1" s="1"/>
  <c r="J11" i="1"/>
  <c r="N11" i="1" s="1"/>
  <c r="J13" i="1"/>
  <c r="N13" i="1" s="1"/>
  <c r="J14" i="1"/>
  <c r="N14" i="1" s="1"/>
  <c r="J16" i="1"/>
  <c r="N16" i="1" s="1"/>
  <c r="J17" i="1"/>
  <c r="N17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7" i="1"/>
  <c r="N27" i="1" s="1"/>
  <c r="J28" i="1"/>
  <c r="N28" i="1" s="1"/>
  <c r="J31" i="1"/>
  <c r="N31" i="1" s="1"/>
  <c r="J32" i="1"/>
  <c r="N32" i="1" s="1"/>
  <c r="O34" i="1" l="1"/>
  <c r="N2" i="1"/>
  <c r="N5" i="1"/>
  <c r="F26" i="1"/>
  <c r="F20" i="1"/>
  <c r="D18" i="1"/>
  <c r="D17" i="1"/>
  <c r="E4" i="1"/>
  <c r="D4" i="1"/>
  <c r="C4" i="1"/>
  <c r="C3" i="1"/>
  <c r="E2" i="1"/>
  <c r="M34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<sst xmlns="http://schemas.openxmlformats.org/spreadsheetml/2006/main" count="95" uniqueCount="71">
  <si>
    <t>DATE</t>
  </si>
  <si>
    <t>ESPECE</t>
  </si>
  <si>
    <t>CAISSE PI</t>
  </si>
  <si>
    <t>POIDS BRUT PI</t>
  </si>
  <si>
    <t>CAISSE PF</t>
  </si>
  <si>
    <t>POIDS BRUT PF</t>
  </si>
  <si>
    <t>MERLAN</t>
  </si>
  <si>
    <t>ROTO=11.4KG</t>
  </si>
  <si>
    <t>RELIQUAT</t>
  </si>
  <si>
    <t>CREVETTE GRISE</t>
  </si>
  <si>
    <t>BORO=13.6+CREVETTE GRISE=8KG</t>
  </si>
  <si>
    <t>MERLAN ENTIER</t>
  </si>
  <si>
    <t>DENTON=1.7</t>
  </si>
  <si>
    <t>PARGO ENTIER</t>
  </si>
  <si>
    <t>POIDS NET</t>
  </si>
  <si>
    <t>NET</t>
  </si>
  <si>
    <t>BUZUGO ENTIER</t>
  </si>
  <si>
    <t>MIXTE 8KG</t>
  </si>
  <si>
    <t>BURRO ENTIER</t>
  </si>
  <si>
    <t>SOLE TIGRE</t>
  </si>
  <si>
    <t>BURRO</t>
  </si>
  <si>
    <t>POTA--&gt;CALAMAR</t>
  </si>
  <si>
    <t>BOGUE</t>
  </si>
  <si>
    <t>PAGEOT</t>
  </si>
  <si>
    <t>PERSONNEL FIXE</t>
  </si>
  <si>
    <t>NOM ET PRENOM</t>
  </si>
  <si>
    <t>SALAIRE NET MENSUEL</t>
  </si>
  <si>
    <t>BOUCHALA Ilham</t>
  </si>
  <si>
    <t>BOUHRAM MBARKA</t>
  </si>
  <si>
    <t>FINNA Fatima</t>
  </si>
  <si>
    <t>JRARI Malika</t>
  </si>
  <si>
    <t>KARDAD Zohra</t>
  </si>
  <si>
    <t>OUMAST Fatima</t>
  </si>
  <si>
    <t>SIDIR Zahra</t>
  </si>
  <si>
    <t xml:space="preserve"> ALLIMOURI BOUCHAIB</t>
  </si>
  <si>
    <t>OUMAST Khadija</t>
  </si>
  <si>
    <t>NACHAT MOHAMMED</t>
  </si>
  <si>
    <t>DORQUI MOHAMMED</t>
  </si>
  <si>
    <t>MEJID</t>
  </si>
  <si>
    <t>MFERREK ACHRAF</t>
  </si>
  <si>
    <t>EL GHARRADI RATIBA</t>
  </si>
  <si>
    <t>SALAIRE H</t>
  </si>
  <si>
    <t>HEURE M.O (O)</t>
  </si>
  <si>
    <t>HEURE M.O F</t>
  </si>
  <si>
    <t>SALAIRE H/F</t>
  </si>
  <si>
    <t>(1)COUT MOO</t>
  </si>
  <si>
    <t>COUT PERSONNEL F</t>
  </si>
  <si>
    <t>COUT M.O/J</t>
  </si>
  <si>
    <t>TOTAL CHARGE M.O</t>
  </si>
  <si>
    <t>C.SACHET (U)</t>
  </si>
  <si>
    <t>CONSOMMATION SACHET EN KG</t>
  </si>
  <si>
    <t>COUT SACHET/J</t>
  </si>
  <si>
    <t>ETIQUETTE NOIR</t>
  </si>
  <si>
    <t>CONSOMMATION CARTON PAR J EN DH</t>
  </si>
  <si>
    <t>CONSOMMATION E.N EN DH</t>
  </si>
  <si>
    <t>CONSOMMATION E50*75/JETIQUETTE 50*75</t>
  </si>
  <si>
    <t>CONSOMMATION E50*75 EN DH/J</t>
  </si>
  <si>
    <t>CONSOMMATION SCOTCH/J</t>
  </si>
  <si>
    <t>COUT SCOTCH PAR J</t>
  </si>
  <si>
    <t>N C/S M1</t>
  </si>
  <si>
    <t>N C/S PF</t>
  </si>
  <si>
    <t>NBR CARTON THERORIQUE</t>
  </si>
  <si>
    <t>NBR SACHET</t>
  </si>
  <si>
    <t>NBR CARTON REEL</t>
  </si>
  <si>
    <t>NBR SACHET REEL</t>
  </si>
  <si>
    <t>TAUX DE GASPILLAGE</t>
  </si>
  <si>
    <t>Colonne11</t>
  </si>
  <si>
    <t>Colonne12</t>
  </si>
  <si>
    <t>Colonne13</t>
  </si>
  <si>
    <t>Colonne14</t>
  </si>
  <si>
    <t>BESUGO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</si>
</sst>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&quot; &quot;##0.00&quot; &quot;&quot; &quot;_-;\-* #&quot; &quot;##0.00&quot; &quot;&quot; &quot;_-;_-* &quot;-&quot;??&quot; &quot;&quot; &quot;_-;_-@_-"/>
    <numFmt numFmtId="165" formatCode="#,##0.00\ [$MAD]"/>
    <numFmt numFmtId="166" formatCode="_-* #,##0.00\ [$MAD]_-;\-* #,##0.00\ [$MAD]_-;_-* &quot;-&quot;??\ [$MAD]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2" fillId="2" borderId="3" xfId="0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/>
    </xf>
    <xf numFmtId="43" fontId="0" fillId="0" borderId="0" xfId="1" applyFont="1"/>
    <xf numFmtId="165" fontId="0" fillId="0" borderId="0" xfId="1" applyNumberFormat="1" applyFont="1"/>
    <xf numFmtId="166" fontId="0" fillId="0" borderId="0" xfId="0" applyNumberFormat="1"/>
    <xf numFmtId="0" fontId="0" fillId="0" borderId="2" xfId="0" applyBorder="1" applyAlignment="1">
      <alignment horizontal="center" vertical="center"/>
    </xf>
    <xf numFmtId="0" fontId="4" fillId="4" borderId="6" xfId="0" applyFont="1" applyFill="1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5" borderId="8" xfId="0" applyFill="1" applyBorder="1"/>
    <xf numFmtId="0" fontId="0" fillId="5" borderId="6" xfId="0" applyFill="1" applyBorder="1"/>
    <xf numFmtId="0" fontId="0" fillId="5" borderId="7" xfId="0" applyFill="1" applyBorder="1"/>
    <xf numFmtId="0" fontId="0" fillId="0" borderId="8" xfId="0" applyBorder="1"/>
    <xf numFmtId="0" fontId="0" fillId="0" borderId="6" xfId="0" applyBorder="1"/>
    <xf numFmtId="0" fontId="0" fillId="0" borderId="7" xfId="0" applyBorder="1"/>
    <xf numFmtId="14" fontId="0" fillId="5" borderId="8" xfId="0" applyNumberFormat="1" applyFill="1" applyBorder="1"/>
  </cellXfs>
  <cellStyles count="2">
    <cellStyle name="Milliers" xfId="1" builtinId="3"/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6" formatCode="_-* #,##0.00\ [$MAD]_-;\-* #,##0.00\ [$MAD]_-;_-* &quot;-&quot;??\ [$MAD]_-;_-@_-"/>
    </dxf>
    <dxf>
      <numFmt numFmtId="0" formatCode="General"/>
    </dxf>
    <dxf>
      <numFmt numFmtId="0" formatCode="General"/>
    </dxf>
    <dxf>
      <numFmt numFmtId="35" formatCode="_-* #,##0.00_-;\-* #,##0.00_-;_-* &quot;-&quot;??_-;_-@_-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877063-C069-4032-ACD2-B774A775ECE9}" name="Tableau1" displayName="Tableau1" ref="A1:G32" totalsRowShown="0">
  <autoFilter ref="A1:G32" xr:uid="{17877063-C069-4032-ACD2-B774A775ECE9}"/>
  <tableColumns count="7">
    <tableColumn id="1" xr3:uid="{FE802DCD-CE12-441F-BAC5-BE977E17978A}" name="DATE"/>
    <tableColumn id="2" xr3:uid="{CC155096-B063-44EF-8F8C-1621E505237D}" name="ESPECE"/>
    <tableColumn id="3" xr3:uid="{C624E3B6-A51F-4B44-9A68-95496DA52892}" name="CAISSE PI"/>
    <tableColumn id="4" xr3:uid="{163C44D5-F57E-4A09-BB6D-58BA728A044B}" name="POIDS BRUT PI"/>
    <tableColumn id="5" xr3:uid="{C9CEBC27-1531-4BCA-B756-22C78B865700}" name="CAISSE PF" dataDxfId="13">
      <calculatedColumnFormula>56+56+15</calculatedColumnFormula>
    </tableColumn>
    <tableColumn id="6" xr3:uid="{46378CC3-1E1D-45D4-A6F8-7AE070D07C00}" name="POIDS BRUT PF"/>
    <tableColumn id="7" xr3:uid="{AF230A7E-193A-471B-91ED-383526EF44BD}" name="RELIQUA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D3356E5-A529-4A97-AB4D-2C4339B6D0AA}" name="Tableau2" displayName="Tableau2" ref="H1:X32" totalsRowShown="0">
  <autoFilter ref="H1:X32" xr:uid="{CD3356E5-A529-4A97-AB4D-2C4339B6D0AA}"/>
  <tableColumns count="17">
    <tableColumn id="1" xr3:uid="{D635FB54-A674-49D2-BFD3-778081A3216F}" name="HEURE M.O (O)"/>
    <tableColumn id="2" xr3:uid="{8C57BE7D-FA4C-4BCC-824B-6E8505A8B7D7}" name="SALAIRE H"/>
    <tableColumn id="5" xr3:uid="{ED09F32E-6AC3-4A1B-A201-058258E1F27D}" name="(1)COUT MOO" dataDxfId="12">
      <calculatedColumnFormula>Tableau2[[#This Row],[HEURE M.O (O)]]*Tableau2[[#This Row],[SALAIRE H]]</calculatedColumnFormula>
    </tableColumn>
    <tableColumn id="3" xr3:uid="{27460A79-76CD-441F-8186-8518BF1C4FAF}" name="HEURE M.O F"/>
    <tableColumn id="6" xr3:uid="{8A254D9C-D994-4880-A9A2-44723974F2D9}" name="SALAIRE H/F"/>
    <tableColumn id="7" xr3:uid="{C557C156-02DD-4F28-BFA4-A9CD9A98586B}" name="COUT PERSONNEL F" dataDxfId="11">
      <calculatedColumnFormula>Tableau2[[#This Row],[HEURE M.O F]]*Tableau2[[#This Row],[SALAIRE H/F]]</calculatedColumnFormula>
    </tableColumn>
    <tableColumn id="8" xr3:uid="{ECC9E5A0-03E2-471A-A28B-B6E45CC2F021}" name="COUT M.O/J" dataDxfId="10">
      <calculatedColumnFormula>Tableau2[[#This Row],[(1)COUT MOO]]+Tableau2[[#This Row],[COUT PERSONNEL F]]</calculatedColumnFormula>
    </tableColumn>
    <tableColumn id="4" xr3:uid="{F58287B4-B935-47C5-AEC6-C02237FDB780}" name="CONSOMMATION CARTON PAR J EN DH" dataDxfId="9" dataCellStyle="Milliers">
      <calculatedColumnFormula>Tableau1[[#This Row],[CAISSE PF]]*11.64</calculatedColumnFormula>
    </tableColumn>
    <tableColumn id="9" xr3:uid="{154D5DA6-0017-455E-8014-F886D8781F50}" name="C.SACHET (U)" dataDxfId="8">
      <calculatedColumnFormula>12*Tableau1[[#This Row],[CAISSE PF]]</calculatedColumnFormula>
    </tableColumn>
    <tableColumn id="10" xr3:uid="{0589AA81-A3B0-4771-81E8-6B336CFD4BFC}" name="CONSOMMATION SACHET EN KG" dataDxfId="7">
      <calculatedColumnFormula>Tableau2[[#This Row],[C.SACHET (U)]]/70</calculatedColumnFormula>
    </tableColumn>
    <tableColumn id="11" xr3:uid="{B53E23BF-623B-4BEF-8CC3-0FC432925010}" name="COUT SACHET/J" dataDxfId="6">
      <calculatedColumnFormula>24*Tableau2[[#This Row],[CONSOMMATION SACHET EN KG]]</calculatedColumnFormula>
    </tableColumn>
    <tableColumn id="12" xr3:uid="{0A466D45-92E8-46A6-91C8-9F2737ACAACC}" name="ETIQUETTE NOIR" dataDxfId="5"/>
    <tableColumn id="13" xr3:uid="{7BB9DE93-F5FB-46C4-9F0E-1DE1C9EA51AF}" name="CONSOMMATION E.N EN DH" dataDxfId="4">
      <calculatedColumnFormula>40*Tableau2[[#This Row],[ETIQUETTE NOIR]]</calculatedColumnFormula>
    </tableColumn>
    <tableColumn id="14" xr3:uid="{64269C44-3B64-4F68-B4F6-1A20290C48B6}" name="CONSOMMATION E50*75/JETIQUETTE 50*75" dataDxfId="3"/>
    <tableColumn id="15" xr3:uid="{0AD93796-A295-4DA3-856E-7121119E73CC}" name="CONSOMMATION E50*75 EN DH/J" dataDxfId="2">
      <calculatedColumnFormula>Tableau2[[#This Row],[CONSOMMATION E50*75/JETIQUETTE 50*75]]*40</calculatedColumnFormula>
    </tableColumn>
    <tableColumn id="16" xr3:uid="{827F3347-C430-4BA6-A747-31812E38770B}" name="CONSOMMATION SCOTCH/J" dataDxfId="1"/>
    <tableColumn id="17" xr3:uid="{0F277650-8817-4FC1-80D8-0E6C69E68EE9}" name="COUT SCOTCH PAR J" dataDxfId="0">
      <calculatedColumnFormula>10.8*Tableau2[[#This Row],[CONSOMMATION SCOTCH/J]]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054D0-941C-42AF-9B23-C30050C8DEB8}">
  <dimension ref="A1:X68"/>
  <sheetViews>
    <sheetView tabSelected="1" topLeftCell="G1" zoomScale="87" zoomScaleNormal="87" workbookViewId="0">
      <selection activeCell="X6" sqref="X6"/>
    </sheetView>
  </sheetViews>
  <sheetFormatPr baseColWidth="10" defaultRowHeight="15" x14ac:dyDescent="0.25"/>
  <cols>
    <col min="1" max="1" width="14.140625" customWidth="1"/>
    <col min="2" max="2" width="19.28515625" customWidth="1"/>
    <col min="3" max="3" width="11.5703125" customWidth="1"/>
    <col min="4" max="4" width="16.42578125" customWidth="1"/>
    <col min="5" max="5" width="16" customWidth="1"/>
    <col min="6" max="6" width="23.140625" customWidth="1"/>
    <col min="7" max="7" width="30" customWidth="1"/>
    <col min="8" max="8" width="15.7109375" customWidth="1"/>
    <col min="9" max="9" width="15.85546875" customWidth="1"/>
    <col min="10" max="10" width="12.5703125" customWidth="1"/>
    <col min="11" max="11" width="20" customWidth="1"/>
    <col min="12" max="12" width="18.85546875" customWidth="1"/>
    <col min="13" max="13" width="14.7109375" customWidth="1"/>
    <col min="14" max="14" width="17" customWidth="1"/>
    <col min="15" max="15" width="36.28515625" style="14" customWidth="1"/>
    <col min="16" max="16" width="15.5703125" customWidth="1"/>
    <col min="17" max="17" width="15.28515625" customWidth="1"/>
    <col min="18" max="18" width="15.85546875" style="16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42</v>
      </c>
      <c r="I1" t="s">
        <v>41</v>
      </c>
      <c r="J1" t="s">
        <v>45</v>
      </c>
      <c r="K1" t="s">
        <v>43</v>
      </c>
      <c r="L1" t="s">
        <v>44</v>
      </c>
      <c r="M1" t="s">
        <v>46</v>
      </c>
      <c r="N1" t="s">
        <v>47</v>
      </c>
      <c r="O1" s="14" t="s">
        <v>53</v>
      </c>
      <c r="P1" t="s">
        <v>49</v>
      </c>
      <c r="Q1" t="s">
        <v>50</v>
      </c>
      <c r="R1" s="16" t="s">
        <v>51</v>
      </c>
      <c r="S1" t="s">
        <v>52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</row>
    <row r="2" spans="1:24" x14ac:dyDescent="0.25">
      <c r="A2" s="1">
        <v>46024</v>
      </c>
      <c r="B2" t="s">
        <v>6</v>
      </c>
      <c r="C2">
        <v>62</v>
      </c>
      <c r="D2">
        <v>1488</v>
      </c>
      <c r="E2">
        <f t="shared" ref="E2" si="0">56+56+15</f>
        <v>127</v>
      </c>
      <c r="F2">
        <v>1535.4</v>
      </c>
      <c r="G2" t="s">
        <v>7</v>
      </c>
      <c r="H2">
        <v>33.75</v>
      </c>
      <c r="I2">
        <v>17</v>
      </c>
      <c r="J2">
        <f>Tableau2[[#This Row],[HEURE M.O (O)]]*Tableau2[[#This Row],[SALAIRE H]]</f>
        <v>573.75</v>
      </c>
      <c r="K2">
        <v>104</v>
      </c>
      <c r="L2">
        <v>22.19</v>
      </c>
      <c r="M2">
        <f>Tableau2[[#This Row],[HEURE M.O F]]*Tableau2[[#This Row],[SALAIRE H/F]]</f>
        <v>2307.7600000000002</v>
      </c>
      <c r="N2">
        <f>Tableau2[[#This Row],[(1)COUT MOO]]+Tableau2[[#This Row],[COUT PERSONNEL F]]</f>
        <v>2881.51</v>
      </c>
      <c r="O2" s="15">
        <f>Tableau1[[#This Row],[CAISSE PF]]*11.64</f>
        <v>1478.28</v>
      </c>
      <c r="P2">
        <f>12*Tableau1[[#This Row],[CAISSE PF]]</f>
        <v>1524</v>
      </c>
      <c r="Q2">
        <f>Tableau2[[#This Row],[C.SACHET (U)]]/70</f>
        <v>21.771428571428572</v>
      </c>
      <c r="R2" s="16">
        <f>24*Tableau2[[#This Row],[CONSOMMATION SACHET EN KG]]</f>
        <v>522.51428571428573</v>
      </c>
      <c r="S2">
        <v>1</v>
      </c>
      <c r="T2">
        <f>40*Tableau2[[#This Row],[ETIQUETTE NOIR]]</f>
        <v>40</v>
      </c>
      <c r="U2">
        <v>4</v>
      </c>
      <c r="V2">
        <f>Tableau2[[#This Row],[CONSOMMATION E50*75/JETIQUETTE 50*75]]*40</f>
        <v>160</v>
      </c>
      <c r="W2">
        <v>15</v>
      </c>
      <c r="X2">
        <f>10.8*Tableau2[[#This Row],[CONSOMMATION SCOTCH/J]]</f>
        <v>162</v>
      </c>
    </row>
    <row r="3" spans="1:24" x14ac:dyDescent="0.25">
      <c r="A3" s="1">
        <v>46027</v>
      </c>
      <c r="B3" t="s">
        <v>9</v>
      </c>
      <c r="C3">
        <f>55+56+56+5+2+42+56+56+59</f>
        <v>387</v>
      </c>
      <c r="D3">
        <v>4644</v>
      </c>
      <c r="E3">
        <v>387</v>
      </c>
      <c r="F3">
        <v>4644</v>
      </c>
      <c r="H3">
        <v>37.5</v>
      </c>
      <c r="I3">
        <v>17</v>
      </c>
      <c r="J3">
        <f>Tableau2[[#This Row],[HEURE M.O (O)]]*Tableau2[[#This Row],[SALAIRE H]]</f>
        <v>637.5</v>
      </c>
      <c r="K3">
        <v>104</v>
      </c>
      <c r="L3">
        <v>22.19</v>
      </c>
      <c r="M3">
        <f>Tableau2[[#This Row],[HEURE M.O F]]*Tableau2[[#This Row],[SALAIRE H/F]]</f>
        <v>2307.7600000000002</v>
      </c>
      <c r="N3">
        <f>Tableau2[[#This Row],[(1)COUT MOO]]+Tableau2[[#This Row],[COUT PERSONNEL F]]</f>
        <v>2945.26</v>
      </c>
      <c r="O3" s="15">
        <f>Tableau1[[#This Row],[CAISSE PF]]*11.64</f>
        <v>4504.68</v>
      </c>
      <c r="P3">
        <f>12*Tableau1[[#This Row],[CAISSE PF]]</f>
        <v>4644</v>
      </c>
      <c r="Q3">
        <f>Tableau2[[#This Row],[C.SACHET (U)]]/70</f>
        <v>66.342857142857142</v>
      </c>
      <c r="R3" s="16">
        <f>24*Tableau2[[#This Row],[CONSOMMATION SACHET EN KG]]</f>
        <v>1592.2285714285713</v>
      </c>
      <c r="S3">
        <v>1</v>
      </c>
      <c r="T3">
        <f>40*Tableau2[[#This Row],[ETIQUETTE NOIR]]</f>
        <v>40</v>
      </c>
      <c r="U3">
        <v>4</v>
      </c>
      <c r="V3">
        <f>Tableau2[[#This Row],[CONSOMMATION E50*75/JETIQUETTE 50*75]]*40</f>
        <v>160</v>
      </c>
      <c r="W3">
        <v>15</v>
      </c>
      <c r="X3">
        <f>10.8*Tableau2[[#This Row],[CONSOMMATION SCOTCH/J]]</f>
        <v>162</v>
      </c>
    </row>
    <row r="4" spans="1:24" x14ac:dyDescent="0.25">
      <c r="A4" s="1">
        <v>46028</v>
      </c>
      <c r="B4" t="s">
        <v>9</v>
      </c>
      <c r="C4">
        <f>56+28+27+25+21+21</f>
        <v>178</v>
      </c>
      <c r="D4">
        <f>178*12</f>
        <v>2136</v>
      </c>
      <c r="E4">
        <f>23+33+28+22+23+23</f>
        <v>152</v>
      </c>
      <c r="G4" t="s">
        <v>10</v>
      </c>
      <c r="H4">
        <v>32.5</v>
      </c>
      <c r="I4">
        <v>17</v>
      </c>
      <c r="J4">
        <f>Tableau2[[#This Row],[HEURE M.O (O)]]*Tableau2[[#This Row],[SALAIRE H]]</f>
        <v>552.5</v>
      </c>
      <c r="K4">
        <v>104</v>
      </c>
      <c r="L4">
        <v>22.19</v>
      </c>
      <c r="M4">
        <f>Tableau2[[#This Row],[HEURE M.O F]]*Tableau2[[#This Row],[SALAIRE H/F]]</f>
        <v>2307.7600000000002</v>
      </c>
      <c r="N4">
        <f>Tableau2[[#This Row],[(1)COUT MOO]]+Tableau2[[#This Row],[COUT PERSONNEL F]]</f>
        <v>2860.26</v>
      </c>
      <c r="O4" s="15">
        <f>Tableau1[[#This Row],[CAISSE PF]]*11.64</f>
        <v>1769.2800000000002</v>
      </c>
      <c r="P4">
        <f>12*Tableau1[[#This Row],[CAISSE PF]]</f>
        <v>1824</v>
      </c>
      <c r="Q4">
        <f>Tableau2[[#This Row],[C.SACHET (U)]]/70</f>
        <v>26.057142857142857</v>
      </c>
      <c r="R4" s="16">
        <f>24*Tableau2[[#This Row],[CONSOMMATION SACHET EN KG]]</f>
        <v>625.37142857142862</v>
      </c>
      <c r="S4">
        <v>1</v>
      </c>
      <c r="T4">
        <f>40*Tableau2[[#This Row],[ETIQUETTE NOIR]]</f>
        <v>40</v>
      </c>
      <c r="U4">
        <v>4</v>
      </c>
      <c r="V4">
        <f>Tableau2[[#This Row],[CONSOMMATION E50*75/JETIQUETTE 50*75]]*40</f>
        <v>160</v>
      </c>
      <c r="W4">
        <v>15</v>
      </c>
      <c r="X4">
        <f>10.8*Tableau2[[#This Row],[CONSOMMATION SCOTCH/J]]</f>
        <v>162</v>
      </c>
    </row>
    <row r="5" spans="1:24" x14ac:dyDescent="0.25">
      <c r="A5" s="1">
        <v>46029</v>
      </c>
      <c r="B5" t="s">
        <v>11</v>
      </c>
      <c r="C5">
        <v>196</v>
      </c>
      <c r="D5">
        <v>2352</v>
      </c>
      <c r="E5">
        <v>198</v>
      </c>
      <c r="F5">
        <v>2383.8000000000002</v>
      </c>
      <c r="G5" t="s">
        <v>12</v>
      </c>
      <c r="H5">
        <v>27.5</v>
      </c>
      <c r="I5">
        <v>17</v>
      </c>
      <c r="J5">
        <f>Tableau2[[#This Row],[HEURE M.O (O)]]*Tableau2[[#This Row],[SALAIRE H]]</f>
        <v>467.5</v>
      </c>
      <c r="K5">
        <v>104</v>
      </c>
      <c r="L5">
        <v>22.19</v>
      </c>
      <c r="M5">
        <f>Tableau2[[#This Row],[HEURE M.O F]]*Tableau2[[#This Row],[SALAIRE H/F]]</f>
        <v>2307.7600000000002</v>
      </c>
      <c r="N5">
        <f>Tableau2[[#This Row],[(1)COUT MOO]]+Tableau2[[#This Row],[COUT PERSONNEL F]]</f>
        <v>2775.26</v>
      </c>
      <c r="O5" s="15">
        <f>Tableau1[[#This Row],[CAISSE PF]]*11.64</f>
        <v>2304.7200000000003</v>
      </c>
      <c r="P5">
        <f>12*Tableau1[[#This Row],[CAISSE PF]]</f>
        <v>2376</v>
      </c>
      <c r="Q5">
        <f>Tableau2[[#This Row],[C.SACHET (U)]]/70</f>
        <v>33.942857142857143</v>
      </c>
      <c r="R5" s="16">
        <f>24*Tableau2[[#This Row],[CONSOMMATION SACHET EN KG]]</f>
        <v>814.62857142857138</v>
      </c>
      <c r="S5">
        <v>1</v>
      </c>
      <c r="T5">
        <f>40*Tableau2[[#This Row],[ETIQUETTE NOIR]]</f>
        <v>40</v>
      </c>
      <c r="U5">
        <v>4</v>
      </c>
      <c r="V5">
        <f>Tableau2[[#This Row],[CONSOMMATION E50*75/JETIQUETTE 50*75]]*40</f>
        <v>160</v>
      </c>
      <c r="W5">
        <v>15</v>
      </c>
      <c r="X5">
        <f>10.8*Tableau2[[#This Row],[CONSOMMATION SCOTCH/J]]</f>
        <v>162</v>
      </c>
    </row>
    <row r="6" spans="1:24" x14ac:dyDescent="0.25">
      <c r="A6" s="1">
        <v>46031</v>
      </c>
      <c r="B6" t="s">
        <v>13</v>
      </c>
      <c r="C6">
        <v>78</v>
      </c>
      <c r="D6">
        <v>1879.1</v>
      </c>
      <c r="E6">
        <v>149</v>
      </c>
      <c r="F6">
        <v>1788</v>
      </c>
      <c r="G6" t="s">
        <v>14</v>
      </c>
      <c r="H6">
        <v>28</v>
      </c>
      <c r="I6">
        <v>17</v>
      </c>
      <c r="J6">
        <f>Tableau2[[#This Row],[HEURE M.O (O)]]*Tableau2[[#This Row],[SALAIRE H]]</f>
        <v>476</v>
      </c>
      <c r="K6">
        <v>112</v>
      </c>
      <c r="L6">
        <v>22.1</v>
      </c>
      <c r="M6">
        <f>Tableau2[[#This Row],[HEURE M.O F]]*Tableau2[[#This Row],[SALAIRE H/F]]</f>
        <v>2475.2000000000003</v>
      </c>
      <c r="N6">
        <f>Tableau2[[#This Row],[(1)COUT MOO]]+Tableau2[[#This Row],[COUT PERSONNEL F]]</f>
        <v>2951.2000000000003</v>
      </c>
      <c r="O6" s="15">
        <f>Tableau1[[#This Row],[CAISSE PF]]*11.64</f>
        <v>1734.3600000000001</v>
      </c>
      <c r="P6">
        <f>12*Tableau1[[#This Row],[CAISSE PF]]</f>
        <v>1788</v>
      </c>
      <c r="Q6">
        <f>Tableau2[[#This Row],[C.SACHET (U)]]/70</f>
        <v>25.542857142857144</v>
      </c>
      <c r="R6" s="16">
        <f>24*Tableau2[[#This Row],[CONSOMMATION SACHET EN KG]]</f>
        <v>613.02857142857147</v>
      </c>
      <c r="S6">
        <v>1</v>
      </c>
      <c r="T6">
        <f>40*Tableau2[[#This Row],[ETIQUETTE NOIR]]</f>
        <v>40</v>
      </c>
      <c r="U6">
        <v>4</v>
      </c>
      <c r="V6">
        <f>Tableau2[[#This Row],[CONSOMMATION E50*75/JETIQUETTE 50*75]]*40</f>
        <v>160</v>
      </c>
      <c r="W6">
        <v>15</v>
      </c>
      <c r="X6">
        <f>10.8*Tableau2[[#This Row],[CONSOMMATION SCOTCH/J]]</f>
        <v>162</v>
      </c>
    </row>
    <row r="7" spans="1:24" x14ac:dyDescent="0.25">
      <c r="A7" s="1">
        <v>46032</v>
      </c>
      <c r="B7" t="s">
        <v>13</v>
      </c>
      <c r="C7">
        <v>45</v>
      </c>
      <c r="D7">
        <v>1135.9000000000001</v>
      </c>
      <c r="E7">
        <v>88</v>
      </c>
      <c r="F7">
        <v>1193</v>
      </c>
      <c r="H7">
        <v>17.5</v>
      </c>
      <c r="I7">
        <v>17</v>
      </c>
      <c r="J7">
        <f>Tableau2[[#This Row],[HEURE M.O (O)]]*Tableau2[[#This Row],[SALAIRE H]]</f>
        <v>297.5</v>
      </c>
      <c r="K7">
        <v>112</v>
      </c>
      <c r="L7">
        <v>22.1</v>
      </c>
      <c r="M7">
        <f>Tableau2[[#This Row],[HEURE M.O F]]*Tableau2[[#This Row],[SALAIRE H/F]]</f>
        <v>2475.2000000000003</v>
      </c>
      <c r="N7">
        <f>Tableau2[[#This Row],[(1)COUT MOO]]+Tableau2[[#This Row],[COUT PERSONNEL F]]</f>
        <v>2772.7000000000003</v>
      </c>
      <c r="O7" s="15">
        <f>Tableau1[[#This Row],[CAISSE PF]]*11.64</f>
        <v>1024.3200000000002</v>
      </c>
      <c r="P7">
        <f>12*Tableau1[[#This Row],[CAISSE PF]]</f>
        <v>1056</v>
      </c>
      <c r="Q7">
        <f>Tableau2[[#This Row],[C.SACHET (U)]]/70</f>
        <v>15.085714285714285</v>
      </c>
      <c r="R7" s="16">
        <f>24*Tableau2[[#This Row],[CONSOMMATION SACHET EN KG]]</f>
        <v>362.05714285714282</v>
      </c>
      <c r="S7">
        <v>1</v>
      </c>
      <c r="T7">
        <f>40*Tableau2[[#This Row],[ETIQUETTE NOIR]]</f>
        <v>40</v>
      </c>
      <c r="U7">
        <v>4</v>
      </c>
      <c r="V7">
        <f>Tableau2[[#This Row],[CONSOMMATION E50*75/JETIQUETTE 50*75]]*40</f>
        <v>160</v>
      </c>
      <c r="W7">
        <v>15</v>
      </c>
      <c r="X7">
        <f>10.8*Tableau2[[#This Row],[CONSOMMATION SCOTCH/J]]</f>
        <v>162</v>
      </c>
    </row>
    <row r="8" spans="1:24" x14ac:dyDescent="0.25">
      <c r="A8" s="1">
        <v>46034</v>
      </c>
      <c r="B8" t="s">
        <v>13</v>
      </c>
      <c r="C8">
        <v>24</v>
      </c>
      <c r="D8">
        <v>592</v>
      </c>
      <c r="E8">
        <v>42</v>
      </c>
      <c r="F8">
        <v>504</v>
      </c>
      <c r="G8" t="s">
        <v>15</v>
      </c>
      <c r="H8">
        <v>37.5</v>
      </c>
      <c r="I8">
        <v>17</v>
      </c>
      <c r="J8">
        <f>Tableau2[[#This Row],[HEURE M.O (O)]]*Tableau2[[#This Row],[SALAIRE H]]</f>
        <v>637.5</v>
      </c>
      <c r="K8">
        <v>112</v>
      </c>
      <c r="L8">
        <v>22.1</v>
      </c>
      <c r="M8">
        <f>Tableau2[[#This Row],[HEURE M.O F]]*Tableau2[[#This Row],[SALAIRE H/F]]</f>
        <v>2475.2000000000003</v>
      </c>
      <c r="N8">
        <f>Tableau2[[#This Row],[(1)COUT MOO]]+Tableau2[[#This Row],[COUT PERSONNEL F]]</f>
        <v>3112.7000000000003</v>
      </c>
      <c r="O8" s="15">
        <f>Tableau1[[#This Row],[CAISSE PF]]*11.64</f>
        <v>488.88</v>
      </c>
      <c r="P8">
        <f>12*Tableau1[[#This Row],[CAISSE PF]]</f>
        <v>504</v>
      </c>
      <c r="Q8">
        <f>Tableau2[[#This Row],[C.SACHET (U)]]/70</f>
        <v>7.2</v>
      </c>
      <c r="R8" s="16">
        <f>24*Tableau2[[#This Row],[CONSOMMATION SACHET EN KG]]</f>
        <v>172.8</v>
      </c>
      <c r="S8">
        <v>1</v>
      </c>
      <c r="T8">
        <f>40*Tableau2[[#This Row],[ETIQUETTE NOIR]]</f>
        <v>40</v>
      </c>
      <c r="U8">
        <v>4</v>
      </c>
      <c r="V8">
        <f>Tableau2[[#This Row],[CONSOMMATION E50*75/JETIQUETTE 50*75]]*40</f>
        <v>160</v>
      </c>
      <c r="W8">
        <v>15</v>
      </c>
      <c r="X8">
        <f>10.8*Tableau2[[#This Row],[CONSOMMATION SCOTCH/J]]</f>
        <v>162</v>
      </c>
    </row>
    <row r="9" spans="1:24" x14ac:dyDescent="0.25">
      <c r="A9" s="1">
        <v>46034</v>
      </c>
      <c r="B9" t="s">
        <v>16</v>
      </c>
      <c r="C9">
        <v>73</v>
      </c>
      <c r="D9">
        <v>1866.6</v>
      </c>
      <c r="E9">
        <v>147</v>
      </c>
      <c r="F9">
        <v>1764</v>
      </c>
      <c r="G9" t="s">
        <v>15</v>
      </c>
      <c r="O9" s="15">
        <f>Tableau1[[#This Row],[CAISSE PF]]*11.64</f>
        <v>1711.0800000000002</v>
      </c>
      <c r="P9">
        <f>12*Tableau1[[#This Row],[CAISSE PF]]</f>
        <v>1764</v>
      </c>
      <c r="Q9">
        <f>Tableau2[[#This Row],[C.SACHET (U)]]/70</f>
        <v>25.2</v>
      </c>
      <c r="R9" s="16">
        <f>24*Tableau2[[#This Row],[CONSOMMATION SACHET EN KG]]</f>
        <v>604.79999999999995</v>
      </c>
      <c r="S9">
        <v>1</v>
      </c>
      <c r="T9">
        <f>40*Tableau2[[#This Row],[ETIQUETTE NOIR]]</f>
        <v>40</v>
      </c>
      <c r="U9">
        <v>4</v>
      </c>
      <c r="V9">
        <f>Tableau2[[#This Row],[CONSOMMATION E50*75/JETIQUETTE 50*75]]*40</f>
        <v>160</v>
      </c>
      <c r="W9">
        <v>15</v>
      </c>
      <c r="X9">
        <f>10.8*Tableau2[[#This Row],[CONSOMMATION SCOTCH/J]]</f>
        <v>162</v>
      </c>
    </row>
    <row r="10" spans="1:24" x14ac:dyDescent="0.25">
      <c r="A10" s="1">
        <v>46035</v>
      </c>
      <c r="B10" t="s">
        <v>16</v>
      </c>
      <c r="C10">
        <v>134</v>
      </c>
      <c r="D10">
        <v>3471.2</v>
      </c>
      <c r="E10">
        <v>276</v>
      </c>
      <c r="F10">
        <v>3312</v>
      </c>
      <c r="G10" t="s">
        <v>17</v>
      </c>
      <c r="H10">
        <v>39.75</v>
      </c>
      <c r="I10">
        <v>17</v>
      </c>
      <c r="J10">
        <f>Tableau2[[#This Row],[HEURE M.O (O)]]*Tableau2[[#This Row],[SALAIRE H]]</f>
        <v>675.75</v>
      </c>
      <c r="K10">
        <v>112</v>
      </c>
      <c r="L10">
        <v>22.1</v>
      </c>
      <c r="M10">
        <f>Tableau2[[#This Row],[HEURE M.O F]]*Tableau2[[#This Row],[SALAIRE H/F]]</f>
        <v>2475.2000000000003</v>
      </c>
      <c r="N10">
        <f>Tableau2[[#This Row],[(1)COUT MOO]]+Tableau2[[#This Row],[COUT PERSONNEL F]]</f>
        <v>3150.9500000000003</v>
      </c>
      <c r="O10" s="15">
        <f>Tableau1[[#This Row],[CAISSE PF]]*11.64</f>
        <v>3212.6400000000003</v>
      </c>
      <c r="P10">
        <f>12*Tableau1[[#This Row],[CAISSE PF]]</f>
        <v>3312</v>
      </c>
      <c r="Q10">
        <f>Tableau2[[#This Row],[C.SACHET (U)]]/70</f>
        <v>47.314285714285717</v>
      </c>
      <c r="R10" s="16">
        <f>24*Tableau2[[#This Row],[CONSOMMATION SACHET EN KG]]</f>
        <v>1135.5428571428572</v>
      </c>
      <c r="S10">
        <v>1</v>
      </c>
      <c r="T10">
        <f>40*Tableau2[[#This Row],[ETIQUETTE NOIR]]</f>
        <v>40</v>
      </c>
      <c r="U10">
        <v>4</v>
      </c>
      <c r="V10">
        <f>Tableau2[[#This Row],[CONSOMMATION E50*75/JETIQUETTE 50*75]]*40</f>
        <v>160</v>
      </c>
      <c r="W10">
        <v>15</v>
      </c>
      <c r="X10">
        <f>10.8*Tableau2[[#This Row],[CONSOMMATION SCOTCH/J]]</f>
        <v>162</v>
      </c>
    </row>
    <row r="11" spans="1:24" x14ac:dyDescent="0.25">
      <c r="A11" s="1">
        <v>46036</v>
      </c>
      <c r="B11" t="s">
        <v>16</v>
      </c>
      <c r="C11">
        <v>26</v>
      </c>
      <c r="D11">
        <v>681</v>
      </c>
      <c r="E11">
        <v>66</v>
      </c>
      <c r="F11">
        <v>792</v>
      </c>
      <c r="H11">
        <v>46.5</v>
      </c>
      <c r="I11">
        <v>17</v>
      </c>
      <c r="J11">
        <f>Tableau2[[#This Row],[HEURE M.O (O)]]*Tableau2[[#This Row],[SALAIRE H]]</f>
        <v>790.5</v>
      </c>
      <c r="K11">
        <v>112</v>
      </c>
      <c r="L11">
        <v>22.1</v>
      </c>
      <c r="M11">
        <f>Tableau2[[#This Row],[HEURE M.O F]]*Tableau2[[#This Row],[SALAIRE H/F]]</f>
        <v>2475.2000000000003</v>
      </c>
      <c r="N11">
        <f>Tableau2[[#This Row],[(1)COUT MOO]]+Tableau2[[#This Row],[COUT PERSONNEL F]]</f>
        <v>3265.7000000000003</v>
      </c>
      <c r="O11" s="15">
        <f>Tableau1[[#This Row],[CAISSE PF]]*11.64</f>
        <v>768.24</v>
      </c>
      <c r="P11">
        <f>12*Tableau1[[#This Row],[CAISSE PF]]</f>
        <v>792</v>
      </c>
      <c r="Q11">
        <f>Tableau2[[#This Row],[C.SACHET (U)]]/70</f>
        <v>11.314285714285715</v>
      </c>
      <c r="R11" s="16">
        <f>24*Tableau2[[#This Row],[CONSOMMATION SACHET EN KG]]</f>
        <v>271.54285714285714</v>
      </c>
      <c r="S11">
        <v>1</v>
      </c>
      <c r="T11">
        <f>40*Tableau2[[#This Row],[ETIQUETTE NOIR]]</f>
        <v>40</v>
      </c>
      <c r="U11">
        <v>4</v>
      </c>
      <c r="V11">
        <f>Tableau2[[#This Row],[CONSOMMATION E50*75/JETIQUETTE 50*75]]*40</f>
        <v>160</v>
      </c>
      <c r="W11">
        <v>15</v>
      </c>
      <c r="X11">
        <f>10.8*Tableau2[[#This Row],[CONSOMMATION SCOTCH/J]]</f>
        <v>162</v>
      </c>
    </row>
    <row r="12" spans="1:24" x14ac:dyDescent="0.25">
      <c r="A12" s="1">
        <v>46036</v>
      </c>
      <c r="B12" t="s">
        <v>13</v>
      </c>
      <c r="C12">
        <v>126</v>
      </c>
      <c r="D12">
        <v>2989.3</v>
      </c>
      <c r="E12">
        <v>238</v>
      </c>
      <c r="F12">
        <v>2856</v>
      </c>
      <c r="O12" s="15">
        <f>Tableau1[[#This Row],[CAISSE PF]]*11.64</f>
        <v>2770.32</v>
      </c>
      <c r="P12">
        <f>12*Tableau1[[#This Row],[CAISSE PF]]</f>
        <v>2856</v>
      </c>
      <c r="Q12">
        <f>Tableau2[[#This Row],[C.SACHET (U)]]/70</f>
        <v>40.799999999999997</v>
      </c>
      <c r="R12" s="16">
        <f>24*Tableau2[[#This Row],[CONSOMMATION SACHET EN KG]]</f>
        <v>979.19999999999993</v>
      </c>
      <c r="S12">
        <v>1</v>
      </c>
      <c r="T12">
        <f>40*Tableau2[[#This Row],[ETIQUETTE NOIR]]</f>
        <v>40</v>
      </c>
      <c r="U12">
        <v>4</v>
      </c>
      <c r="V12">
        <f>Tableau2[[#This Row],[CONSOMMATION E50*75/JETIQUETTE 50*75]]*40</f>
        <v>160</v>
      </c>
      <c r="W12">
        <v>15</v>
      </c>
      <c r="X12">
        <f>10.8*Tableau2[[#This Row],[CONSOMMATION SCOTCH/J]]</f>
        <v>162</v>
      </c>
    </row>
    <row r="13" spans="1:24" x14ac:dyDescent="0.25">
      <c r="A13" s="1">
        <v>46037</v>
      </c>
      <c r="B13" t="s">
        <v>18</v>
      </c>
      <c r="C13">
        <v>39</v>
      </c>
      <c r="D13">
        <v>1021.7</v>
      </c>
      <c r="E13">
        <v>75</v>
      </c>
      <c r="F13">
        <v>1042.3</v>
      </c>
      <c r="H13">
        <v>123.5</v>
      </c>
      <c r="I13">
        <v>17</v>
      </c>
      <c r="J13">
        <f>Tableau2[[#This Row],[HEURE M.O (O)]]*Tableau2[[#This Row],[SALAIRE H]]</f>
        <v>2099.5</v>
      </c>
      <c r="K13">
        <v>112</v>
      </c>
      <c r="L13">
        <v>22.1</v>
      </c>
      <c r="M13">
        <f>Tableau2[[#This Row],[HEURE M.O F]]*Tableau2[[#This Row],[SALAIRE H/F]]</f>
        <v>2475.2000000000003</v>
      </c>
      <c r="N13">
        <f>Tableau2[[#This Row],[(1)COUT MOO]]+Tableau2[[#This Row],[COUT PERSONNEL F]]</f>
        <v>4574.7000000000007</v>
      </c>
      <c r="O13" s="15">
        <f>Tableau1[[#This Row],[CAISSE PF]]*11.64</f>
        <v>873</v>
      </c>
      <c r="P13">
        <f>12*Tableau1[[#This Row],[CAISSE PF]]</f>
        <v>900</v>
      </c>
      <c r="Q13">
        <f>Tableau2[[#This Row],[C.SACHET (U)]]/70</f>
        <v>12.857142857142858</v>
      </c>
      <c r="R13" s="16">
        <f>24*Tableau2[[#This Row],[CONSOMMATION SACHET EN KG]]</f>
        <v>308.57142857142856</v>
      </c>
      <c r="S13">
        <v>1</v>
      </c>
      <c r="T13">
        <f>40*Tableau2[[#This Row],[ETIQUETTE NOIR]]</f>
        <v>40</v>
      </c>
      <c r="U13">
        <v>4</v>
      </c>
      <c r="V13">
        <f>Tableau2[[#This Row],[CONSOMMATION E50*75/JETIQUETTE 50*75]]*40</f>
        <v>160</v>
      </c>
      <c r="W13">
        <v>15</v>
      </c>
      <c r="X13">
        <f>10.8*Tableau2[[#This Row],[CONSOMMATION SCOTCH/J]]</f>
        <v>162</v>
      </c>
    </row>
    <row r="14" spans="1:24" x14ac:dyDescent="0.25">
      <c r="A14" s="1">
        <v>46038</v>
      </c>
      <c r="B14" t="s">
        <v>18</v>
      </c>
      <c r="C14">
        <v>25</v>
      </c>
      <c r="D14">
        <v>607</v>
      </c>
      <c r="E14">
        <v>48</v>
      </c>
      <c r="F14">
        <v>576</v>
      </c>
      <c r="H14">
        <v>105.25</v>
      </c>
      <c r="I14">
        <v>17</v>
      </c>
      <c r="J14">
        <f>Tableau2[[#This Row],[HEURE M.O (O)]]*Tableau2[[#This Row],[SALAIRE H]]</f>
        <v>1789.25</v>
      </c>
      <c r="K14">
        <v>112</v>
      </c>
      <c r="L14">
        <v>22.1</v>
      </c>
      <c r="M14">
        <f>Tableau2[[#This Row],[HEURE M.O F]]*Tableau2[[#This Row],[SALAIRE H/F]]</f>
        <v>2475.2000000000003</v>
      </c>
      <c r="N14">
        <f>Tableau2[[#This Row],[(1)COUT MOO]]+Tableau2[[#This Row],[COUT PERSONNEL F]]</f>
        <v>4264.4500000000007</v>
      </c>
      <c r="O14" s="15">
        <f>Tableau1[[#This Row],[CAISSE PF]]*11.64</f>
        <v>558.72</v>
      </c>
      <c r="P14">
        <f>12*Tableau1[[#This Row],[CAISSE PF]]</f>
        <v>576</v>
      </c>
      <c r="Q14">
        <f>Tableau2[[#This Row],[C.SACHET (U)]]/70</f>
        <v>8.2285714285714278</v>
      </c>
      <c r="R14" s="16">
        <f>24*Tableau2[[#This Row],[CONSOMMATION SACHET EN KG]]</f>
        <v>197.48571428571427</v>
      </c>
      <c r="S14">
        <v>1</v>
      </c>
      <c r="T14">
        <f>40*Tableau2[[#This Row],[ETIQUETTE NOIR]]</f>
        <v>40</v>
      </c>
      <c r="U14">
        <v>4</v>
      </c>
      <c r="V14">
        <f>Tableau2[[#This Row],[CONSOMMATION E50*75/JETIQUETTE 50*75]]*40</f>
        <v>160</v>
      </c>
      <c r="W14">
        <v>15</v>
      </c>
      <c r="X14">
        <f>10.8*Tableau2[[#This Row],[CONSOMMATION SCOTCH/J]]</f>
        <v>162</v>
      </c>
    </row>
    <row r="15" spans="1:24" x14ac:dyDescent="0.25">
      <c r="A15" s="1">
        <v>46038</v>
      </c>
      <c r="B15" t="s">
        <v>16</v>
      </c>
      <c r="C15">
        <v>42</v>
      </c>
      <c r="D15">
        <v>1109</v>
      </c>
      <c r="E15">
        <v>80</v>
      </c>
      <c r="F15">
        <v>960</v>
      </c>
      <c r="O15" s="15">
        <f>Tableau1[[#This Row],[CAISSE PF]]*11.64</f>
        <v>931.2</v>
      </c>
      <c r="P15">
        <f>12*Tableau1[[#This Row],[CAISSE PF]]</f>
        <v>960</v>
      </c>
      <c r="Q15">
        <f>Tableau2[[#This Row],[C.SACHET (U)]]/70</f>
        <v>13.714285714285714</v>
      </c>
      <c r="R15" s="16">
        <f>24*Tableau2[[#This Row],[CONSOMMATION SACHET EN KG]]</f>
        <v>329.14285714285711</v>
      </c>
      <c r="S15">
        <v>1</v>
      </c>
      <c r="T15">
        <f>40*Tableau2[[#This Row],[ETIQUETTE NOIR]]</f>
        <v>40</v>
      </c>
      <c r="U15">
        <v>4</v>
      </c>
      <c r="V15">
        <f>Tableau2[[#This Row],[CONSOMMATION E50*75/JETIQUETTE 50*75]]*40</f>
        <v>160</v>
      </c>
      <c r="W15">
        <v>15</v>
      </c>
      <c r="X15">
        <f>10.8*Tableau2[[#This Row],[CONSOMMATION SCOTCH/J]]</f>
        <v>162</v>
      </c>
    </row>
    <row r="16" spans="1:24" x14ac:dyDescent="0.25">
      <c r="A16" s="1">
        <v>46039</v>
      </c>
      <c r="B16" t="s">
        <v>16</v>
      </c>
      <c r="C16">
        <v>57</v>
      </c>
      <c r="D16">
        <v>1734.4</v>
      </c>
      <c r="E16">
        <v>142</v>
      </c>
      <c r="F16">
        <v>1704</v>
      </c>
      <c r="H16">
        <v>101</v>
      </c>
      <c r="I16">
        <v>17</v>
      </c>
      <c r="J16">
        <f>Tableau2[[#This Row],[HEURE M.O (O)]]*Tableau2[[#This Row],[SALAIRE H]]</f>
        <v>1717</v>
      </c>
      <c r="K16">
        <v>112</v>
      </c>
      <c r="L16">
        <v>22.1</v>
      </c>
      <c r="M16">
        <f>Tableau2[[#This Row],[HEURE M.O F]]*Tableau2[[#This Row],[SALAIRE H/F]]</f>
        <v>2475.2000000000003</v>
      </c>
      <c r="N16">
        <f>Tableau2[[#This Row],[(1)COUT MOO]]+Tableau2[[#This Row],[COUT PERSONNEL F]]</f>
        <v>4192.2000000000007</v>
      </c>
      <c r="O16" s="15">
        <f>Tableau1[[#This Row],[CAISSE PF]]*11.64</f>
        <v>1652.88</v>
      </c>
      <c r="P16">
        <f>12*Tableau1[[#This Row],[CAISSE PF]]</f>
        <v>1704</v>
      </c>
      <c r="Q16">
        <f>Tableau2[[#This Row],[C.SACHET (U)]]/70</f>
        <v>24.342857142857142</v>
      </c>
      <c r="R16" s="16">
        <f>24*Tableau2[[#This Row],[CONSOMMATION SACHET EN KG]]</f>
        <v>584.2285714285714</v>
      </c>
      <c r="S16">
        <v>1</v>
      </c>
      <c r="T16">
        <f>40*Tableau2[[#This Row],[ETIQUETTE NOIR]]</f>
        <v>40</v>
      </c>
      <c r="U16">
        <v>4</v>
      </c>
      <c r="V16">
        <f>Tableau2[[#This Row],[CONSOMMATION E50*75/JETIQUETTE 50*75]]*40</f>
        <v>160</v>
      </c>
      <c r="W16">
        <v>15</v>
      </c>
      <c r="X16">
        <f>10.8*Tableau2[[#This Row],[CONSOMMATION SCOTCH/J]]</f>
        <v>162</v>
      </c>
    </row>
    <row r="17" spans="1:24" x14ac:dyDescent="0.25">
      <c r="A17" s="1">
        <v>46041</v>
      </c>
      <c r="B17" t="s">
        <v>16</v>
      </c>
      <c r="C17">
        <v>55</v>
      </c>
      <c r="D17">
        <f>1366.5-71.5</f>
        <v>1295</v>
      </c>
      <c r="E17">
        <v>102</v>
      </c>
      <c r="F17">
        <v>1224</v>
      </c>
      <c r="H17">
        <v>136</v>
      </c>
      <c r="I17">
        <v>17</v>
      </c>
      <c r="J17">
        <f>Tableau2[[#This Row],[HEURE M.O (O)]]*Tableau2[[#This Row],[SALAIRE H]]</f>
        <v>2312</v>
      </c>
      <c r="K17">
        <v>112</v>
      </c>
      <c r="L17">
        <v>22.1</v>
      </c>
      <c r="M17">
        <f>Tableau2[[#This Row],[HEURE M.O F]]*Tableau2[[#This Row],[SALAIRE H/F]]</f>
        <v>2475.2000000000003</v>
      </c>
      <c r="N17">
        <f>Tableau2[[#This Row],[(1)COUT MOO]]+Tableau2[[#This Row],[COUT PERSONNEL F]]</f>
        <v>4787.2000000000007</v>
      </c>
      <c r="O17" s="15">
        <f>Tableau1[[#This Row],[CAISSE PF]]*11.64</f>
        <v>1187.28</v>
      </c>
      <c r="P17">
        <f>12*Tableau1[[#This Row],[CAISSE PF]]</f>
        <v>1224</v>
      </c>
      <c r="Q17">
        <f>Tableau2[[#This Row],[C.SACHET (U)]]/70</f>
        <v>17.485714285714284</v>
      </c>
      <c r="R17" s="16">
        <f>24*Tableau2[[#This Row],[CONSOMMATION SACHET EN KG]]</f>
        <v>419.65714285714284</v>
      </c>
      <c r="S17">
        <v>1</v>
      </c>
      <c r="T17">
        <f>40*Tableau2[[#This Row],[ETIQUETTE NOIR]]</f>
        <v>40</v>
      </c>
      <c r="U17">
        <v>4</v>
      </c>
      <c r="V17">
        <f>Tableau2[[#This Row],[CONSOMMATION E50*75/JETIQUETTE 50*75]]*40</f>
        <v>160</v>
      </c>
      <c r="W17">
        <v>15</v>
      </c>
      <c r="X17">
        <f>10.8*Tableau2[[#This Row],[CONSOMMATION SCOTCH/J]]</f>
        <v>162</v>
      </c>
    </row>
    <row r="18" spans="1:24" x14ac:dyDescent="0.25">
      <c r="A18" s="1">
        <v>46041</v>
      </c>
      <c r="B18" t="s">
        <v>19</v>
      </c>
      <c r="C18">
        <v>122</v>
      </c>
      <c r="D18">
        <f>2288.9-2.5-0.57</f>
        <v>2285.83</v>
      </c>
      <c r="E18">
        <v>184</v>
      </c>
      <c r="F18">
        <v>2211.0700000000002</v>
      </c>
      <c r="O18" s="15">
        <f>Tableau1[[#This Row],[CAISSE PF]]*11.64</f>
        <v>2141.7600000000002</v>
      </c>
      <c r="P18">
        <f>12*Tableau1[[#This Row],[CAISSE PF]]</f>
        <v>2208</v>
      </c>
      <c r="Q18">
        <f>Tableau2[[#This Row],[C.SACHET (U)]]/70</f>
        <v>31.542857142857144</v>
      </c>
      <c r="R18" s="16">
        <f>24*Tableau2[[#This Row],[CONSOMMATION SACHET EN KG]]</f>
        <v>757.02857142857147</v>
      </c>
      <c r="S18">
        <v>1</v>
      </c>
      <c r="T18">
        <f>40*Tableau2[[#This Row],[ETIQUETTE NOIR]]</f>
        <v>40</v>
      </c>
      <c r="U18">
        <v>4</v>
      </c>
      <c r="V18">
        <f>Tableau2[[#This Row],[CONSOMMATION E50*75/JETIQUETTE 50*75]]*40</f>
        <v>160</v>
      </c>
      <c r="W18">
        <v>15</v>
      </c>
      <c r="X18">
        <f>10.8*Tableau2[[#This Row],[CONSOMMATION SCOTCH/J]]</f>
        <v>162</v>
      </c>
    </row>
    <row r="19" spans="1:24" x14ac:dyDescent="0.25">
      <c r="A19" s="1">
        <v>46042</v>
      </c>
      <c r="B19" t="s">
        <v>18</v>
      </c>
      <c r="D19">
        <v>4847.3</v>
      </c>
      <c r="E19">
        <v>460</v>
      </c>
      <c r="F19">
        <v>6233.5</v>
      </c>
      <c r="H19">
        <v>149.75</v>
      </c>
      <c r="I19">
        <v>17</v>
      </c>
      <c r="J19">
        <f>Tableau2[[#This Row],[HEURE M.O (O)]]*Tableau2[[#This Row],[SALAIRE H]]</f>
        <v>2545.75</v>
      </c>
      <c r="K19">
        <v>112</v>
      </c>
      <c r="L19">
        <v>22.1</v>
      </c>
      <c r="M19">
        <f>Tableau2[[#This Row],[HEURE M.O F]]*Tableau2[[#This Row],[SALAIRE H/F]]</f>
        <v>2475.2000000000003</v>
      </c>
      <c r="N19">
        <f>Tableau2[[#This Row],[(1)COUT MOO]]+Tableau2[[#This Row],[COUT PERSONNEL F]]</f>
        <v>5020.9500000000007</v>
      </c>
      <c r="O19" s="15">
        <f>Tableau1[[#This Row],[CAISSE PF]]*11.64</f>
        <v>5354.4000000000005</v>
      </c>
      <c r="P19">
        <f>12*Tableau1[[#This Row],[CAISSE PF]]</f>
        <v>5520</v>
      </c>
      <c r="Q19">
        <f>Tableau2[[#This Row],[C.SACHET (U)]]/70</f>
        <v>78.857142857142861</v>
      </c>
      <c r="R19" s="16">
        <f>24*Tableau2[[#This Row],[CONSOMMATION SACHET EN KG]]</f>
        <v>1892.5714285714287</v>
      </c>
      <c r="S19">
        <v>1</v>
      </c>
      <c r="T19">
        <f>40*Tableau2[[#This Row],[ETIQUETTE NOIR]]</f>
        <v>40</v>
      </c>
      <c r="U19">
        <v>4</v>
      </c>
      <c r="V19">
        <f>Tableau2[[#This Row],[CONSOMMATION E50*75/JETIQUETTE 50*75]]*40</f>
        <v>160</v>
      </c>
      <c r="W19">
        <v>15</v>
      </c>
      <c r="X19">
        <f>10.8*Tableau2[[#This Row],[CONSOMMATION SCOTCH/J]]</f>
        <v>162</v>
      </c>
    </row>
    <row r="20" spans="1:24" x14ac:dyDescent="0.25">
      <c r="A20" s="1">
        <v>46043</v>
      </c>
      <c r="B20" t="s">
        <v>20</v>
      </c>
      <c r="D20">
        <v>1288.3</v>
      </c>
      <c r="E20">
        <v>95</v>
      </c>
      <c r="F20">
        <f>855.9+449.3</f>
        <v>1305.2</v>
      </c>
      <c r="H20">
        <v>135.4</v>
      </c>
      <c r="I20">
        <v>17</v>
      </c>
      <c r="J20">
        <f>Tableau2[[#This Row],[HEURE M.O (O)]]*Tableau2[[#This Row],[SALAIRE H]]</f>
        <v>2301.8000000000002</v>
      </c>
      <c r="K20">
        <v>112</v>
      </c>
      <c r="L20">
        <v>22.1</v>
      </c>
      <c r="M20">
        <f>Tableau2[[#This Row],[HEURE M.O F]]*Tableau2[[#This Row],[SALAIRE H/F]]</f>
        <v>2475.2000000000003</v>
      </c>
      <c r="N20">
        <f>Tableau2[[#This Row],[(1)COUT MOO]]+Tableau2[[#This Row],[COUT PERSONNEL F]]</f>
        <v>4777</v>
      </c>
      <c r="O20" s="15">
        <f>Tableau1[[#This Row],[CAISSE PF]]*11.64</f>
        <v>1105.8</v>
      </c>
      <c r="P20">
        <f>12*Tableau1[[#This Row],[CAISSE PF]]</f>
        <v>1140</v>
      </c>
      <c r="Q20">
        <f>Tableau2[[#This Row],[C.SACHET (U)]]/70</f>
        <v>16.285714285714285</v>
      </c>
      <c r="R20" s="16">
        <f>24*Tableau2[[#This Row],[CONSOMMATION SACHET EN KG]]</f>
        <v>390.85714285714283</v>
      </c>
      <c r="S20">
        <v>1</v>
      </c>
      <c r="T20">
        <f>40*Tableau2[[#This Row],[ETIQUETTE NOIR]]</f>
        <v>40</v>
      </c>
      <c r="U20">
        <v>4</v>
      </c>
      <c r="V20">
        <f>Tableau2[[#This Row],[CONSOMMATION E50*75/JETIQUETTE 50*75]]*40</f>
        <v>160</v>
      </c>
      <c r="W20">
        <v>15</v>
      </c>
      <c r="X20">
        <f>10.8*Tableau2[[#This Row],[CONSOMMATION SCOTCH/J]]</f>
        <v>162</v>
      </c>
    </row>
    <row r="21" spans="1:24" x14ac:dyDescent="0.25">
      <c r="A21" s="1">
        <v>46044</v>
      </c>
      <c r="B21" t="s">
        <v>11</v>
      </c>
      <c r="C21">
        <v>110</v>
      </c>
      <c r="D21">
        <v>3337.7</v>
      </c>
      <c r="E21">
        <v>270</v>
      </c>
      <c r="F21">
        <v>3314</v>
      </c>
      <c r="H21">
        <v>130.4</v>
      </c>
      <c r="I21">
        <v>17</v>
      </c>
      <c r="J21">
        <f>Tableau2[[#This Row],[HEURE M.O (O)]]*Tableau2[[#This Row],[SALAIRE H]]</f>
        <v>2216.8000000000002</v>
      </c>
      <c r="K21">
        <v>112</v>
      </c>
      <c r="L21">
        <v>22.1</v>
      </c>
      <c r="M21">
        <f>Tableau2[[#This Row],[HEURE M.O F]]*Tableau2[[#This Row],[SALAIRE H/F]]</f>
        <v>2475.2000000000003</v>
      </c>
      <c r="N21">
        <f>Tableau2[[#This Row],[(1)COUT MOO]]+Tableau2[[#This Row],[COUT PERSONNEL F]]</f>
        <v>4692</v>
      </c>
      <c r="O21" s="15">
        <f>Tableau1[[#This Row],[CAISSE PF]]*11.64</f>
        <v>3142.8</v>
      </c>
      <c r="P21">
        <f>12*Tableau1[[#This Row],[CAISSE PF]]</f>
        <v>3240</v>
      </c>
      <c r="Q21">
        <f>Tableau2[[#This Row],[C.SACHET (U)]]/70</f>
        <v>46.285714285714285</v>
      </c>
      <c r="R21" s="16">
        <f>24*Tableau2[[#This Row],[CONSOMMATION SACHET EN KG]]</f>
        <v>1110.8571428571429</v>
      </c>
      <c r="S21">
        <v>1</v>
      </c>
      <c r="T21">
        <f>40*Tableau2[[#This Row],[ETIQUETTE NOIR]]</f>
        <v>40</v>
      </c>
      <c r="U21">
        <v>4</v>
      </c>
      <c r="V21">
        <f>Tableau2[[#This Row],[CONSOMMATION E50*75/JETIQUETTE 50*75]]*40</f>
        <v>160</v>
      </c>
      <c r="W21">
        <v>15</v>
      </c>
      <c r="X21">
        <f>10.8*Tableau2[[#This Row],[CONSOMMATION SCOTCH/J]]</f>
        <v>162</v>
      </c>
    </row>
    <row r="22" spans="1:24" x14ac:dyDescent="0.25">
      <c r="A22" s="1">
        <v>46045</v>
      </c>
      <c r="B22" t="s">
        <v>11</v>
      </c>
      <c r="C22">
        <v>122</v>
      </c>
      <c r="D22">
        <v>3709</v>
      </c>
      <c r="E22">
        <v>306</v>
      </c>
      <c r="F22">
        <v>3736.1</v>
      </c>
      <c r="H22">
        <v>180.75</v>
      </c>
      <c r="I22">
        <v>17</v>
      </c>
      <c r="J22">
        <f>Tableau2[[#This Row],[HEURE M.O (O)]]*Tableau2[[#This Row],[SALAIRE H]]</f>
        <v>3072.75</v>
      </c>
      <c r="K22">
        <v>112</v>
      </c>
      <c r="L22">
        <v>22.1</v>
      </c>
      <c r="M22">
        <f>Tableau2[[#This Row],[HEURE M.O F]]*Tableau2[[#This Row],[SALAIRE H/F]]</f>
        <v>2475.2000000000003</v>
      </c>
      <c r="N22">
        <f>Tableau2[[#This Row],[(1)COUT MOO]]+Tableau2[[#This Row],[COUT PERSONNEL F]]</f>
        <v>5547.9500000000007</v>
      </c>
      <c r="O22" s="15">
        <f>Tableau1[[#This Row],[CAISSE PF]]*11.64</f>
        <v>3561.84</v>
      </c>
      <c r="P22">
        <f>12*Tableau1[[#This Row],[CAISSE PF]]</f>
        <v>3672</v>
      </c>
      <c r="Q22">
        <f>Tableau2[[#This Row],[C.SACHET (U)]]/70</f>
        <v>52.457142857142856</v>
      </c>
      <c r="R22" s="16">
        <f>24*Tableau2[[#This Row],[CONSOMMATION SACHET EN KG]]</f>
        <v>1258.9714285714285</v>
      </c>
      <c r="S22">
        <v>1</v>
      </c>
      <c r="T22">
        <f>40*Tableau2[[#This Row],[ETIQUETTE NOIR]]</f>
        <v>40</v>
      </c>
      <c r="U22">
        <v>4</v>
      </c>
      <c r="V22">
        <f>Tableau2[[#This Row],[CONSOMMATION E50*75/JETIQUETTE 50*75]]*40</f>
        <v>160</v>
      </c>
      <c r="W22">
        <v>15</v>
      </c>
      <c r="X22">
        <f>10.8*Tableau2[[#This Row],[CONSOMMATION SCOTCH/J]]</f>
        <v>162</v>
      </c>
    </row>
    <row r="23" spans="1:24" x14ac:dyDescent="0.25">
      <c r="A23" s="1">
        <v>46046</v>
      </c>
      <c r="B23" t="s">
        <v>11</v>
      </c>
      <c r="C23">
        <v>111</v>
      </c>
      <c r="D23">
        <v>3381.6</v>
      </c>
      <c r="E23">
        <v>276</v>
      </c>
      <c r="F23">
        <v>3360</v>
      </c>
      <c r="H23">
        <v>115.5</v>
      </c>
      <c r="I23">
        <v>17</v>
      </c>
      <c r="J23">
        <f>Tableau2[[#This Row],[HEURE M.O (O)]]*Tableau2[[#This Row],[SALAIRE H]]</f>
        <v>1963.5</v>
      </c>
      <c r="K23">
        <v>112</v>
      </c>
      <c r="L23">
        <v>22.1</v>
      </c>
      <c r="M23">
        <f>Tableau2[[#This Row],[HEURE M.O F]]*Tableau2[[#This Row],[SALAIRE H/F]]</f>
        <v>2475.2000000000003</v>
      </c>
      <c r="N23">
        <f>Tableau2[[#This Row],[(1)COUT MOO]]+Tableau2[[#This Row],[COUT PERSONNEL F]]</f>
        <v>4438.7000000000007</v>
      </c>
      <c r="O23" s="15">
        <f>Tableau1[[#This Row],[CAISSE PF]]*11.64</f>
        <v>3212.6400000000003</v>
      </c>
      <c r="P23">
        <f>12*Tableau1[[#This Row],[CAISSE PF]]</f>
        <v>3312</v>
      </c>
      <c r="Q23">
        <f>Tableau2[[#This Row],[C.SACHET (U)]]/70</f>
        <v>47.314285714285717</v>
      </c>
      <c r="R23" s="16">
        <f>24*Tableau2[[#This Row],[CONSOMMATION SACHET EN KG]]</f>
        <v>1135.5428571428572</v>
      </c>
      <c r="S23">
        <v>1</v>
      </c>
      <c r="T23">
        <f>40*Tableau2[[#This Row],[ETIQUETTE NOIR]]</f>
        <v>40</v>
      </c>
      <c r="U23">
        <v>4</v>
      </c>
      <c r="V23">
        <f>Tableau2[[#This Row],[CONSOMMATION E50*75/JETIQUETTE 50*75]]*40</f>
        <v>160</v>
      </c>
      <c r="W23">
        <v>15</v>
      </c>
      <c r="X23">
        <f>10.8*Tableau2[[#This Row],[CONSOMMATION SCOTCH/J]]</f>
        <v>162</v>
      </c>
    </row>
    <row r="24" spans="1:24" x14ac:dyDescent="0.25">
      <c r="A24" s="1">
        <v>46048</v>
      </c>
      <c r="B24" t="s">
        <v>11</v>
      </c>
      <c r="D24">
        <v>3984.4</v>
      </c>
      <c r="E24">
        <v>419</v>
      </c>
      <c r="F24">
        <v>5096.2</v>
      </c>
      <c r="H24">
        <v>231.25</v>
      </c>
      <c r="I24">
        <v>17</v>
      </c>
      <c r="J24">
        <f>Tableau2[[#This Row],[HEURE M.O (O)]]*Tableau2[[#This Row],[SALAIRE H]]</f>
        <v>3931.25</v>
      </c>
      <c r="K24">
        <v>112</v>
      </c>
      <c r="L24">
        <v>22.1</v>
      </c>
      <c r="M24">
        <f>Tableau2[[#This Row],[HEURE M.O F]]*Tableau2[[#This Row],[SALAIRE H/F]]</f>
        <v>2475.2000000000003</v>
      </c>
      <c r="N24">
        <f>Tableau2[[#This Row],[(1)COUT MOO]]+Tableau2[[#This Row],[COUT PERSONNEL F]]</f>
        <v>6406.4500000000007</v>
      </c>
      <c r="O24" s="15">
        <f>Tableau1[[#This Row],[CAISSE PF]]*11.64</f>
        <v>4877.16</v>
      </c>
      <c r="P24">
        <f>12*Tableau1[[#This Row],[CAISSE PF]]</f>
        <v>5028</v>
      </c>
      <c r="Q24">
        <f>Tableau2[[#This Row],[C.SACHET (U)]]/70</f>
        <v>71.828571428571422</v>
      </c>
      <c r="R24" s="16">
        <f>24*Tableau2[[#This Row],[CONSOMMATION SACHET EN KG]]</f>
        <v>1723.8857142857141</v>
      </c>
      <c r="S24">
        <v>1</v>
      </c>
      <c r="T24">
        <f>40*Tableau2[[#This Row],[ETIQUETTE NOIR]]</f>
        <v>40</v>
      </c>
      <c r="U24">
        <v>4</v>
      </c>
      <c r="V24">
        <f>Tableau2[[#This Row],[CONSOMMATION E50*75/JETIQUETTE 50*75]]*40</f>
        <v>160</v>
      </c>
      <c r="W24">
        <v>15</v>
      </c>
      <c r="X24">
        <f>10.8*Tableau2[[#This Row],[CONSOMMATION SCOTCH/J]]</f>
        <v>162</v>
      </c>
    </row>
    <row r="25" spans="1:24" x14ac:dyDescent="0.25">
      <c r="A25" s="1">
        <v>46049</v>
      </c>
      <c r="B25" t="s">
        <v>11</v>
      </c>
      <c r="C25">
        <v>149</v>
      </c>
      <c r="D25">
        <v>4522.3999999999996</v>
      </c>
      <c r="E25">
        <v>343</v>
      </c>
      <c r="F25">
        <v>4187</v>
      </c>
      <c r="H25">
        <v>250.5</v>
      </c>
      <c r="I25">
        <v>17</v>
      </c>
      <c r="J25">
        <f>Tableau2[[#This Row],[HEURE M.O (O)]]*Tableau2[[#This Row],[SALAIRE H]]</f>
        <v>4258.5</v>
      </c>
      <c r="K25">
        <v>112</v>
      </c>
      <c r="L25">
        <v>22.1</v>
      </c>
      <c r="M25">
        <f>Tableau2[[#This Row],[HEURE M.O F]]*Tableau2[[#This Row],[SALAIRE H/F]]</f>
        <v>2475.2000000000003</v>
      </c>
      <c r="N25">
        <f>Tableau2[[#This Row],[(1)COUT MOO]]+Tableau2[[#This Row],[COUT PERSONNEL F]]</f>
        <v>6733.7000000000007</v>
      </c>
      <c r="O25" s="15">
        <f>Tableau1[[#This Row],[CAISSE PF]]*11.64</f>
        <v>3992.52</v>
      </c>
      <c r="P25">
        <f>12*Tableau1[[#This Row],[CAISSE PF]]</f>
        <v>4116</v>
      </c>
      <c r="Q25">
        <f>Tableau2[[#This Row],[C.SACHET (U)]]/70</f>
        <v>58.8</v>
      </c>
      <c r="R25" s="16">
        <f>24*Tableau2[[#This Row],[CONSOMMATION SACHET EN KG]]</f>
        <v>1411.1999999999998</v>
      </c>
      <c r="S25">
        <v>1</v>
      </c>
      <c r="T25">
        <f>40*Tableau2[[#This Row],[ETIQUETTE NOIR]]</f>
        <v>40</v>
      </c>
      <c r="U25">
        <v>4</v>
      </c>
      <c r="V25">
        <f>Tableau2[[#This Row],[CONSOMMATION E50*75/JETIQUETTE 50*75]]*40</f>
        <v>160</v>
      </c>
      <c r="W25">
        <v>15</v>
      </c>
      <c r="X25">
        <f>10.8*Tableau2[[#This Row],[CONSOMMATION SCOTCH/J]]</f>
        <v>162</v>
      </c>
    </row>
    <row r="26" spans="1:24" x14ac:dyDescent="0.25">
      <c r="A26" s="1">
        <v>46049</v>
      </c>
      <c r="B26" t="s">
        <v>21</v>
      </c>
      <c r="C26">
        <v>50</v>
      </c>
      <c r="D26">
        <v>1517.9</v>
      </c>
      <c r="E26">
        <v>63</v>
      </c>
      <c r="F26">
        <f>769.5+584.6</f>
        <v>1354.1</v>
      </c>
      <c r="O26" s="15">
        <f>Tableau1[[#This Row],[CAISSE PF]]*11.64</f>
        <v>733.32</v>
      </c>
      <c r="P26">
        <f>12*Tableau1[[#This Row],[CAISSE PF]]</f>
        <v>756</v>
      </c>
      <c r="Q26">
        <f>Tableau2[[#This Row],[C.SACHET (U)]]/70</f>
        <v>10.8</v>
      </c>
      <c r="R26" s="16">
        <f>24*Tableau2[[#This Row],[CONSOMMATION SACHET EN KG]]</f>
        <v>259.20000000000005</v>
      </c>
      <c r="S26">
        <v>1</v>
      </c>
      <c r="T26">
        <f>40*Tableau2[[#This Row],[ETIQUETTE NOIR]]</f>
        <v>40</v>
      </c>
      <c r="U26">
        <v>4</v>
      </c>
      <c r="V26">
        <f>Tableau2[[#This Row],[CONSOMMATION E50*75/JETIQUETTE 50*75]]*40</f>
        <v>160</v>
      </c>
      <c r="W26">
        <v>15</v>
      </c>
      <c r="X26">
        <f>10.8*Tableau2[[#This Row],[CONSOMMATION SCOTCH/J]]</f>
        <v>162</v>
      </c>
    </row>
    <row r="27" spans="1:24" x14ac:dyDescent="0.25">
      <c r="A27" s="1">
        <v>46050</v>
      </c>
      <c r="B27" t="s">
        <v>11</v>
      </c>
      <c r="D27">
        <v>3519.9</v>
      </c>
      <c r="E27">
        <v>402</v>
      </c>
      <c r="F27">
        <v>4599</v>
      </c>
      <c r="H27">
        <v>240</v>
      </c>
      <c r="I27">
        <v>17</v>
      </c>
      <c r="J27">
        <f>Tableau2[[#This Row],[HEURE M.O (O)]]*Tableau2[[#This Row],[SALAIRE H]]</f>
        <v>4080</v>
      </c>
      <c r="K27">
        <v>112</v>
      </c>
      <c r="L27">
        <v>22.1</v>
      </c>
      <c r="M27">
        <f>Tableau2[[#This Row],[HEURE M.O F]]*Tableau2[[#This Row],[SALAIRE H/F]]</f>
        <v>2475.2000000000003</v>
      </c>
      <c r="N27">
        <f>Tableau2[[#This Row],[(1)COUT MOO]]+Tableau2[[#This Row],[COUT PERSONNEL F]]</f>
        <v>6555.2000000000007</v>
      </c>
      <c r="O27" s="15">
        <f>Tableau1[[#This Row],[CAISSE PF]]*11.64</f>
        <v>4679.2800000000007</v>
      </c>
      <c r="P27">
        <f>12*Tableau1[[#This Row],[CAISSE PF]]</f>
        <v>4824</v>
      </c>
      <c r="Q27">
        <f>Tableau2[[#This Row],[C.SACHET (U)]]/70</f>
        <v>68.914285714285711</v>
      </c>
      <c r="R27" s="16">
        <f>24*Tableau2[[#This Row],[CONSOMMATION SACHET EN KG]]</f>
        <v>1653.9428571428571</v>
      </c>
      <c r="S27">
        <v>1</v>
      </c>
      <c r="T27">
        <f>40*Tableau2[[#This Row],[ETIQUETTE NOIR]]</f>
        <v>40</v>
      </c>
      <c r="U27">
        <v>4</v>
      </c>
      <c r="V27">
        <f>Tableau2[[#This Row],[CONSOMMATION E50*75/JETIQUETTE 50*75]]*40</f>
        <v>160</v>
      </c>
      <c r="W27">
        <v>15</v>
      </c>
      <c r="X27">
        <f>10.8*Tableau2[[#This Row],[CONSOMMATION SCOTCH/J]]</f>
        <v>162</v>
      </c>
    </row>
    <row r="28" spans="1:24" x14ac:dyDescent="0.25">
      <c r="A28" s="1">
        <v>46051</v>
      </c>
      <c r="B28" t="s">
        <v>11</v>
      </c>
      <c r="C28">
        <v>70</v>
      </c>
      <c r="D28">
        <v>2126</v>
      </c>
      <c r="E28">
        <v>250</v>
      </c>
      <c r="F28">
        <v>3035.6</v>
      </c>
      <c r="H28">
        <v>264.5</v>
      </c>
      <c r="I28">
        <v>17</v>
      </c>
      <c r="J28">
        <f>Tableau2[[#This Row],[HEURE M.O (O)]]*Tableau2[[#This Row],[SALAIRE H]]</f>
        <v>4496.5</v>
      </c>
      <c r="K28">
        <v>112</v>
      </c>
      <c r="L28">
        <v>22.1</v>
      </c>
      <c r="M28">
        <f>Tableau2[[#This Row],[HEURE M.O F]]*Tableau2[[#This Row],[SALAIRE H/F]]</f>
        <v>2475.2000000000003</v>
      </c>
      <c r="N28">
        <f>Tableau2[[#This Row],[(1)COUT MOO]]+Tableau2[[#This Row],[COUT PERSONNEL F]]</f>
        <v>6971.7000000000007</v>
      </c>
      <c r="O28" s="15">
        <f>Tableau1[[#This Row],[CAISSE PF]]*11.64</f>
        <v>2910</v>
      </c>
      <c r="P28">
        <f>12*Tableau1[[#This Row],[CAISSE PF]]</f>
        <v>3000</v>
      </c>
      <c r="Q28">
        <f>Tableau2[[#This Row],[C.SACHET (U)]]/70</f>
        <v>42.857142857142854</v>
      </c>
      <c r="R28" s="16">
        <f>24*Tableau2[[#This Row],[CONSOMMATION SACHET EN KG]]</f>
        <v>1028.5714285714284</v>
      </c>
      <c r="S28">
        <v>1</v>
      </c>
      <c r="T28">
        <f>40*Tableau2[[#This Row],[ETIQUETTE NOIR]]</f>
        <v>40</v>
      </c>
      <c r="U28">
        <v>4</v>
      </c>
      <c r="V28">
        <f>Tableau2[[#This Row],[CONSOMMATION E50*75/JETIQUETTE 50*75]]*40</f>
        <v>160</v>
      </c>
      <c r="W28">
        <v>15</v>
      </c>
      <c r="X28">
        <f>10.8*Tableau2[[#This Row],[CONSOMMATION SCOTCH/J]]</f>
        <v>162</v>
      </c>
    </row>
    <row r="29" spans="1:24" x14ac:dyDescent="0.25">
      <c r="A29" s="1">
        <v>46051</v>
      </c>
      <c r="B29" t="s">
        <v>22</v>
      </c>
      <c r="C29">
        <v>85</v>
      </c>
      <c r="D29">
        <v>2198.5</v>
      </c>
      <c r="E29">
        <v>177</v>
      </c>
      <c r="F29">
        <v>2151.9</v>
      </c>
      <c r="O29" s="15">
        <f>Tableau1[[#This Row],[CAISSE PF]]*11.64</f>
        <v>2060.2800000000002</v>
      </c>
      <c r="P29">
        <f>12*Tableau1[[#This Row],[CAISSE PF]]</f>
        <v>2124</v>
      </c>
      <c r="Q29">
        <f>Tableau2[[#This Row],[C.SACHET (U)]]/70</f>
        <v>30.342857142857142</v>
      </c>
      <c r="R29" s="16">
        <f>24*Tableau2[[#This Row],[CONSOMMATION SACHET EN KG]]</f>
        <v>728.2285714285714</v>
      </c>
      <c r="S29">
        <v>1</v>
      </c>
      <c r="T29">
        <f>40*Tableau2[[#This Row],[ETIQUETTE NOIR]]</f>
        <v>40</v>
      </c>
      <c r="U29">
        <v>4</v>
      </c>
      <c r="V29">
        <f>Tableau2[[#This Row],[CONSOMMATION E50*75/JETIQUETTE 50*75]]*40</f>
        <v>160</v>
      </c>
      <c r="W29">
        <v>15</v>
      </c>
      <c r="X29">
        <f>10.8*Tableau2[[#This Row],[CONSOMMATION SCOTCH/J]]</f>
        <v>162</v>
      </c>
    </row>
    <row r="30" spans="1:24" x14ac:dyDescent="0.25">
      <c r="A30" s="1">
        <v>46051</v>
      </c>
      <c r="B30" t="s">
        <v>23</v>
      </c>
      <c r="O30" s="15">
        <f>Tableau1[[#This Row],[CAISSE PF]]*11.64</f>
        <v>0</v>
      </c>
      <c r="P30">
        <f>12*Tableau1[[#This Row],[CAISSE PF]]</f>
        <v>0</v>
      </c>
      <c r="Q30">
        <f>Tableau2[[#This Row],[C.SACHET (U)]]/70</f>
        <v>0</v>
      </c>
      <c r="R30" s="16">
        <f>24*Tableau2[[#This Row],[CONSOMMATION SACHET EN KG]]</f>
        <v>0</v>
      </c>
      <c r="S30">
        <v>1</v>
      </c>
      <c r="T30">
        <f>40*Tableau2[[#This Row],[ETIQUETTE NOIR]]</f>
        <v>40</v>
      </c>
      <c r="U30">
        <v>4</v>
      </c>
      <c r="V30">
        <f>Tableau2[[#This Row],[CONSOMMATION E50*75/JETIQUETTE 50*75]]*40</f>
        <v>160</v>
      </c>
      <c r="W30">
        <v>15</v>
      </c>
      <c r="X30">
        <f>10.8*Tableau2[[#This Row],[CONSOMMATION SCOTCH/J]]</f>
        <v>162</v>
      </c>
    </row>
    <row r="31" spans="1:24" x14ac:dyDescent="0.25">
      <c r="A31" s="1">
        <v>46052</v>
      </c>
      <c r="H31">
        <v>334</v>
      </c>
      <c r="I31">
        <v>17</v>
      </c>
      <c r="J31">
        <f>Tableau2[[#This Row],[HEURE M.O (O)]]*Tableau2[[#This Row],[SALAIRE H]]</f>
        <v>5678</v>
      </c>
      <c r="K31">
        <v>112</v>
      </c>
      <c r="L31">
        <v>22.1</v>
      </c>
      <c r="M31">
        <f>Tableau2[[#This Row],[HEURE M.O F]]*Tableau2[[#This Row],[SALAIRE H/F]]</f>
        <v>2475.2000000000003</v>
      </c>
      <c r="N31">
        <f>Tableau2[[#This Row],[(1)COUT MOO]]+Tableau2[[#This Row],[COUT PERSONNEL F]]</f>
        <v>8153.2000000000007</v>
      </c>
      <c r="O31" s="15">
        <f>Tableau1[[#This Row],[CAISSE PF]]*11.64</f>
        <v>0</v>
      </c>
      <c r="P31">
        <f>12*Tableau1[[#This Row],[CAISSE PF]]</f>
        <v>0</v>
      </c>
      <c r="Q31">
        <f>Tableau2[[#This Row],[C.SACHET (U)]]/70</f>
        <v>0</v>
      </c>
      <c r="R31" s="16">
        <f>24*Tableau2[[#This Row],[CONSOMMATION SACHET EN KG]]</f>
        <v>0</v>
      </c>
      <c r="S31">
        <v>1</v>
      </c>
      <c r="T31">
        <f>40*Tableau2[[#This Row],[ETIQUETTE NOIR]]</f>
        <v>40</v>
      </c>
      <c r="U31">
        <v>4</v>
      </c>
      <c r="V31">
        <f>Tableau2[[#This Row],[CONSOMMATION E50*75/JETIQUETTE 50*75]]*40</f>
        <v>160</v>
      </c>
      <c r="W31">
        <v>15</v>
      </c>
      <c r="X31">
        <f>10.8*Tableau2[[#This Row],[CONSOMMATION SCOTCH/J]]</f>
        <v>162</v>
      </c>
    </row>
    <row r="32" spans="1:24" x14ac:dyDescent="0.25">
      <c r="A32" s="1">
        <v>46053</v>
      </c>
      <c r="H32">
        <v>167</v>
      </c>
      <c r="I32">
        <v>17</v>
      </c>
      <c r="J32">
        <f>Tableau2[[#This Row],[HEURE M.O (O)]]*Tableau2[[#This Row],[SALAIRE H]]</f>
        <v>2839</v>
      </c>
      <c r="K32">
        <v>112</v>
      </c>
      <c r="L32">
        <v>22.1</v>
      </c>
      <c r="M32">
        <f>Tableau2[[#This Row],[HEURE M.O F]]*Tableau2[[#This Row],[SALAIRE H/F]]</f>
        <v>2475.2000000000003</v>
      </c>
      <c r="N32">
        <f>Tableau2[[#This Row],[(1)COUT MOO]]+Tableau2[[#This Row],[COUT PERSONNEL F]]</f>
        <v>5314.2000000000007</v>
      </c>
      <c r="O32" s="15">
        <f>Tableau1[[#This Row],[CAISSE PF]]*11.64</f>
        <v>0</v>
      </c>
      <c r="P32">
        <f>12*Tableau1[[#This Row],[CAISSE PF]]</f>
        <v>0</v>
      </c>
      <c r="Q32">
        <f>Tableau2[[#This Row],[C.SACHET (U)]]/70</f>
        <v>0</v>
      </c>
      <c r="R32" s="16">
        <f>24*Tableau2[[#This Row],[CONSOMMATION SACHET EN KG]]</f>
        <v>0</v>
      </c>
      <c r="S32">
        <v>1</v>
      </c>
      <c r="T32">
        <f>40*Tableau2[[#This Row],[ETIQUETTE NOIR]]</f>
        <v>40</v>
      </c>
      <c r="U32">
        <v>4</v>
      </c>
      <c r="V32">
        <f>Tableau2[[#This Row],[CONSOMMATION E50*75/JETIQUETTE 50*75]]*40</f>
        <v>160</v>
      </c>
      <c r="W32">
        <v>15</v>
      </c>
      <c r="X32">
        <f>10.8*Tableau2[[#This Row],[CONSOMMATION SCOTCH/J]]</f>
        <v>162</v>
      </c>
    </row>
    <row r="34" spans="4:15" x14ac:dyDescent="0.25">
      <c r="E34">
        <f>SUM(E9:E29)</f>
        <v>4419</v>
      </c>
      <c r="H34" t="e" cm="1">
        <f t="array" ref="H34">ARR</f>
        <v>#NAME?</v>
      </c>
      <c r="L34" t="s">
        <v>48</v>
      </c>
      <c r="M34">
        <f>SUM(N2:N32)</f>
        <v>109145.13999999997</v>
      </c>
      <c r="O34" s="14">
        <f>SUM(Tableau2[CONSOMMATION CARTON PAR J EN DH])</f>
        <v>64741.680000000008</v>
      </c>
    </row>
    <row r="37" spans="4:15" x14ac:dyDescent="0.25">
      <c r="D37">
        <f>SUM(C9:C29)</f>
        <v>1396</v>
      </c>
      <c r="F37">
        <f>SUM(F9:F29)</f>
        <v>54813.969999999994</v>
      </c>
    </row>
    <row r="39" spans="4:15" ht="15.75" thickBot="1" x14ac:dyDescent="0.3">
      <c r="G39" s="17" t="s">
        <v>24</v>
      </c>
      <c r="H39" s="17"/>
    </row>
    <row r="40" spans="4:15" ht="17.25" thickBot="1" x14ac:dyDescent="0.3">
      <c r="G40" s="2" t="s">
        <v>25</v>
      </c>
      <c r="H40" s="3" t="s">
        <v>26</v>
      </c>
    </row>
    <row r="41" spans="4:15" x14ac:dyDescent="0.25">
      <c r="G41" s="4" t="s">
        <v>27</v>
      </c>
      <c r="H41" s="5">
        <v>4000</v>
      </c>
    </row>
    <row r="42" spans="4:15" x14ac:dyDescent="0.25">
      <c r="G42" s="4" t="s">
        <v>28</v>
      </c>
      <c r="H42" s="6">
        <v>4000</v>
      </c>
    </row>
    <row r="43" spans="4:15" x14ac:dyDescent="0.25">
      <c r="G43" s="7" t="s">
        <v>29</v>
      </c>
      <c r="H43" s="6">
        <v>4000</v>
      </c>
    </row>
    <row r="44" spans="4:15" x14ac:dyDescent="0.25">
      <c r="G44" s="4" t="s">
        <v>30</v>
      </c>
      <c r="H44" s="6">
        <v>4000</v>
      </c>
    </row>
    <row r="45" spans="4:15" x14ac:dyDescent="0.25">
      <c r="G45" s="7" t="s">
        <v>31</v>
      </c>
      <c r="H45" s="6">
        <v>4300</v>
      </c>
    </row>
    <row r="46" spans="4:15" x14ac:dyDescent="0.25">
      <c r="G46" s="4" t="s">
        <v>32</v>
      </c>
      <c r="H46" s="6">
        <v>4000</v>
      </c>
    </row>
    <row r="47" spans="4:15" x14ac:dyDescent="0.25">
      <c r="G47" s="4" t="s">
        <v>33</v>
      </c>
      <c r="H47" s="6">
        <v>4000</v>
      </c>
    </row>
    <row r="48" spans="4:15" x14ac:dyDescent="0.25">
      <c r="G48" s="8" t="s">
        <v>34</v>
      </c>
      <c r="H48" s="6">
        <v>4300</v>
      </c>
    </row>
    <row r="49" spans="5:18" x14ac:dyDescent="0.25">
      <c r="G49" s="7" t="s">
        <v>35</v>
      </c>
      <c r="H49" s="6">
        <v>4000</v>
      </c>
    </row>
    <row r="50" spans="5:18" x14ac:dyDescent="0.25">
      <c r="G50" s="7" t="s">
        <v>36</v>
      </c>
      <c r="H50" s="6">
        <v>4000</v>
      </c>
    </row>
    <row r="51" spans="5:18" x14ac:dyDescent="0.25">
      <c r="G51" s="9"/>
      <c r="H51" s="10"/>
    </row>
    <row r="52" spans="5:18" x14ac:dyDescent="0.25">
      <c r="G52" s="11" t="s">
        <v>37</v>
      </c>
      <c r="H52" s="12">
        <v>6000</v>
      </c>
    </row>
    <row r="53" spans="5:18" x14ac:dyDescent="0.25">
      <c r="G53" s="13" t="s">
        <v>38</v>
      </c>
      <c r="H53" s="12">
        <v>4000</v>
      </c>
    </row>
    <row r="54" spans="5:18" x14ac:dyDescent="0.25">
      <c r="G54" s="11" t="s">
        <v>39</v>
      </c>
      <c r="H54" s="12">
        <v>4500</v>
      </c>
    </row>
    <row r="55" spans="5:18" x14ac:dyDescent="0.25">
      <c r="G55" s="13" t="s">
        <v>40</v>
      </c>
      <c r="H55" s="12">
        <v>4000</v>
      </c>
    </row>
    <row r="61" spans="5:18" x14ac:dyDescent="0.25">
      <c r="E61" s="20" t="s">
        <v>0</v>
      </c>
      <c r="F61" s="18" t="s">
        <v>1</v>
      </c>
      <c r="G61" s="18" t="s">
        <v>59</v>
      </c>
      <c r="H61" s="18" t="s">
        <v>60</v>
      </c>
      <c r="I61" s="18" t="s">
        <v>14</v>
      </c>
      <c r="J61" s="18" t="s">
        <v>61</v>
      </c>
      <c r="K61" s="18" t="s">
        <v>62</v>
      </c>
      <c r="L61" s="18" t="s">
        <v>63</v>
      </c>
      <c r="M61" s="18" t="s">
        <v>64</v>
      </c>
      <c r="N61" s="18" t="s">
        <v>65</v>
      </c>
      <c r="O61" s="18" t="s">
        <v>66</v>
      </c>
      <c r="P61" s="18" t="s">
        <v>67</v>
      </c>
      <c r="Q61" s="18" t="s">
        <v>68</v>
      </c>
      <c r="R61" s="19" t="s">
        <v>69</v>
      </c>
    </row>
    <row r="62" spans="5:18" x14ac:dyDescent="0.25">
      <c r="E62" s="21"/>
      <c r="F62" s="22" t="s">
        <v>22</v>
      </c>
      <c r="G62" s="22">
        <v>77</v>
      </c>
      <c r="H62" s="22">
        <v>129</v>
      </c>
      <c r="I62" s="22">
        <v>1569.4</v>
      </c>
      <c r="J62" s="22">
        <v>129</v>
      </c>
      <c r="K62" s="22">
        <v>1548</v>
      </c>
      <c r="L62" s="22"/>
      <c r="M62" s="22"/>
      <c r="N62" s="22"/>
      <c r="O62" s="22"/>
      <c r="P62" s="22"/>
      <c r="Q62" s="22"/>
      <c r="R62" s="23"/>
    </row>
    <row r="63" spans="5:18" x14ac:dyDescent="0.25">
      <c r="E63" s="24"/>
      <c r="F63" s="25" t="s">
        <v>70</v>
      </c>
      <c r="G63" s="25">
        <v>1</v>
      </c>
      <c r="H63" s="25">
        <v>2</v>
      </c>
      <c r="I63" s="25">
        <v>24.2</v>
      </c>
      <c r="J63" s="25">
        <v>2</v>
      </c>
      <c r="K63" s="25">
        <v>24</v>
      </c>
      <c r="L63" s="25"/>
      <c r="M63" s="25"/>
      <c r="N63" s="25"/>
      <c r="O63" s="25"/>
      <c r="P63" s="25"/>
      <c r="Q63" s="25"/>
      <c r="R63" s="26"/>
    </row>
    <row r="64" spans="5:18" x14ac:dyDescent="0.25">
      <c r="E64" s="27">
        <v>46076</v>
      </c>
      <c r="F64" s="22" t="s">
        <v>70</v>
      </c>
      <c r="G64" s="22">
        <v>32</v>
      </c>
      <c r="H64" s="22">
        <v>57</v>
      </c>
      <c r="I64" s="22">
        <v>692.2</v>
      </c>
      <c r="J64" s="22">
        <v>57</v>
      </c>
      <c r="K64" s="22">
        <v>684</v>
      </c>
      <c r="L64" s="22"/>
      <c r="M64" s="22"/>
      <c r="N64" s="22"/>
      <c r="O64" s="22">
        <v>202.5</v>
      </c>
      <c r="P64" s="22"/>
      <c r="Q64" s="22"/>
      <c r="R64" s="23"/>
    </row>
    <row r="68" spans="6:6" x14ac:dyDescent="0.25">
      <c r="F68">
        <f>SUM(D9:D29)</f>
        <v>51494.030000000006</v>
      </c>
    </row>
  </sheetData>
  <mergeCells count="1">
    <mergeCell ref="G39:H39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2026-02-02T11:21:55Z</dcterms:created>
  <dcterms:modified xsi:type="dcterms:W3CDTF">2026-04-20T21:37:25Z</dcterms:modified>
</cp:coreProperties>
</file>